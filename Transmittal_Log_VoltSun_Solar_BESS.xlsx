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ransmittal Log" sheetId="1" state="visible" r:id="rId3"/>
    <sheet name="Dashboard" sheetId="2" state="visible" r:id="rId4"/>
    <sheet name="Sample Submission Cycle" sheetId="3" state="visible" r:id="rId5"/>
    <sheet name="Legend &amp; Template" sheetId="4" state="visible" r:id="rId6"/>
  </sheets>
  <definedNames>
    <definedName function="false" hidden="true" localSheetId="0" name="_xlnm._FilterDatabase" vbProcedure="false">'Transmittal Log'!$A$5:$L$18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<sst xmlns="http://schemas.openxmlformats.org/spreadsheetml/2006/main" count="220" uniqueCount="114">
  <si>
    <t xml:space="preserve">TRANSMITTAL LOG</t>
  </si>
  <si>
    <t xml:space="preserve">Project: 50 MW Solar PV Plant with 20 MWh BESS  |  VoltSun Labs (RJ Corp Group)  |  Document Controller: [Your Name]</t>
  </si>
  <si>
    <t xml:space="preserve">Cross-referenced to Master Document Register (MDR) — Transmittal Ref column  |  Log updated as of: 21-Aug-2026</t>
  </si>
  <si>
    <t xml:space="preserve">S.No</t>
  </si>
  <si>
    <t xml:space="preserve">Transmittal No.</t>
  </si>
  <si>
    <t xml:space="preserve">Date Issued</t>
  </si>
  <si>
    <t xml:space="preserve">From</t>
  </si>
  <si>
    <t xml:space="preserve">To</t>
  </si>
  <si>
    <t xml:space="preserve">Purpose</t>
  </si>
  <si>
    <t xml:space="preserve">Documents Included</t>
  </si>
  <si>
    <t xml:space="preserve">Rev</t>
  </si>
  <si>
    <t xml:space="preserve">Response Required By</t>
  </si>
  <si>
    <t xml:space="preserve">Status</t>
  </si>
  <si>
    <t xml:space="preserve">Days Open</t>
  </si>
  <si>
    <t xml:space="preserve">Remarks</t>
  </si>
  <si>
    <t xml:space="preserve">TR-0001</t>
  </si>
  <si>
    <t xml:space="preserve">VoltSun Labs - Engineering</t>
  </si>
  <si>
    <t xml:space="preserve">Client Consultant</t>
  </si>
  <si>
    <t xml:space="preserve">For Review</t>
  </si>
  <si>
    <t xml:space="preserve">VSL-SLR-CIV-DRG-0001 - Site Grading &amp; Levelling Plan; VSL-SLR-CIV-DRG-0002 - Module Table Foundation Layout; VSL-SLR-CIV-DRG-0003 - Pile Foundation Design - Zone A</t>
  </si>
  <si>
    <t xml:space="preserve">-</t>
  </si>
  <si>
    <t xml:space="preserve">Overdue</t>
  </si>
  <si>
    <t xml:space="preserve">Response pending - follow up required</t>
  </si>
  <si>
    <t xml:space="preserve">TR-0002</t>
  </si>
  <si>
    <t xml:space="preserve">Client / PMO</t>
  </si>
  <si>
    <t xml:space="preserve">For Approval</t>
  </si>
  <si>
    <t xml:space="preserve">VSL-SLR-CIV-DRG-0004 - Inverter/BESS Plinth Foundation Design; VSL-SLR-CIV-RPT-0005 - Soil Investigation Report; VSL-SLR-CIV-DRG-0006 - Internal Road &amp; Drainage Layout</t>
  </si>
  <si>
    <t xml:space="preserve">Closed</t>
  </si>
  <si>
    <t xml:space="preserve">Response received and logged in MDR</t>
  </si>
  <si>
    <t xml:space="preserve">TR-0003</t>
  </si>
  <si>
    <t xml:space="preserve">VoltSun Labs - PMO</t>
  </si>
  <si>
    <t xml:space="preserve">Site Construction Team</t>
  </si>
  <si>
    <t xml:space="preserve">For Information</t>
  </si>
  <si>
    <t xml:space="preserve">VSL-SLR-CIV-BOQ-0007 - Civil Works BOQ - Zone A &amp; B; VSL-SLR-ELE-DRG-0008 - Plant Single Line Diagram (SLD); VSL-SLR-ELE-DRG-0009 - MV Cable Schedule - Zone A</t>
  </si>
  <si>
    <t xml:space="preserve">TR-0004</t>
  </si>
  <si>
    <t xml:space="preserve">For Construction</t>
  </si>
  <si>
    <t xml:space="preserve">VSL-SLR-ELE-DRG-0010 - Earthing &amp; Lightning Protection Layout; VSL-SLR-ELE-DRG-0011 - DC Cable Routing Layout; VSL-SLR-ELE-DRG-0012 - Inverter Room Electrical Schematic</t>
  </si>
  <si>
    <t xml:space="preserve">Open</t>
  </si>
  <si>
    <t xml:space="preserve">Awaiting response within due date</t>
  </si>
  <si>
    <t xml:space="preserve">TR-0005</t>
  </si>
  <si>
    <t xml:space="preserve">VSL-SLR-ELE-SPEC-0013 - 33kV Switchgear Technical Specification; VSL-SLR-ELE-DRG-0014 - BESS Container SLD; VSL-SLR-ELE-CALC-0015 - Voltage Drop &amp; Cable Sizing Calculation</t>
  </si>
  <si>
    <t xml:space="preserve">TR-0006</t>
  </si>
  <si>
    <t xml:space="preserve">VSL-SLR-MEC-DRG-0016 - Module Mounting Structure - GA Drawing; VSL-SLR-MEC-CALC-0017 - Wind Load &amp; Structural Calculation; VSL-SLR-MEC-SPEC-0018 - Tracker Mounting Structure Specification</t>
  </si>
  <si>
    <t xml:space="preserve">TR-0007</t>
  </si>
  <si>
    <t xml:space="preserve">VSL-SLR-MEC-DRG-0019 - BESS HVAC &amp; Fire Suppression P&amp;ID; VSL-SLR-INC-DRG-0020 - SCADA Network Architecture Diagram; VSL-SLR-INC-SPEC-0021 - Weather Station Instrumentation Spec</t>
  </si>
  <si>
    <t xml:space="preserve">TR-0008</t>
  </si>
  <si>
    <t xml:space="preserve">VSL-SLR-INC-DRG-0022 - PLC I/O List - Inverter Station; VSL-SLR-HSE-PLN-0023 - Project HSE Management Plan; VSL-SLR-HSE-PLN-0024 - Emergency Response &amp; Evacuation Plan</t>
  </si>
  <si>
    <t xml:space="preserve">TR-0009</t>
  </si>
  <si>
    <t xml:space="preserve">VSL-SLR-HSE-PRC-0025 - Working at Height Procedure; VSL-SLR-HSE-PRC-0026 - Lifting &amp; Rigging Safety Procedure; VSL-SLR-QAC-PLN-0027 - Project Quality Assurance Plan</t>
  </si>
  <si>
    <t xml:space="preserve">TR-0010</t>
  </si>
  <si>
    <t xml:space="preserve">VSL-SLR-QAC-ITP-0028 - ITP - Module Mounting Structure; VSL-SLR-QAC-ITP-0029 - ITP - Cable Laying &amp; Termination; VSL-SLR-QAC-RPT-0030 - Factory Acceptance Test Report - Inverters</t>
  </si>
  <si>
    <t xml:space="preserve">TR-0011</t>
  </si>
  <si>
    <t xml:space="preserve">VSL-SLR-PRO-BOQ-0031 - Procurement BOQ - Electrical Package; VSL-SLR-PRO-SPEC-0032 - Module Supply Technical Specification; VSL-SLR-PRO-SPEC-0033 - BESS Container Technical Specification</t>
  </si>
  <si>
    <t xml:space="preserve">TR-0012</t>
  </si>
  <si>
    <t xml:space="preserve">VSL-SLR-PMT-PLN-0034 - Project Execution Plan; VSL-SLR-PMT-PLN-0035 - Project Schedule (Level 3); VSL-SLR-PMT-PRC-0036 - Document Control Procedure</t>
  </si>
  <si>
    <t xml:space="preserve">TR-0013</t>
  </si>
  <si>
    <t xml:space="preserve">VSL-SLR-PMT-RPT-0037 - Monthly Progress Report - Template</t>
  </si>
  <si>
    <t xml:space="preserve">TRANSMITTAL STATUS DASHBOARD</t>
  </si>
  <si>
    <t xml:space="preserve">Live summary — pulls automatically from the Transmittal Log sheet</t>
  </si>
  <si>
    <t xml:space="preserve">Total Transmittals</t>
  </si>
  <si>
    <t xml:space="preserve">Open (within due date)</t>
  </si>
  <si>
    <t xml:space="preserve">Status Breakdown</t>
  </si>
  <si>
    <t xml:space="preserve">Count</t>
  </si>
  <si>
    <t xml:space="preserve">Transmittals by Purpose</t>
  </si>
  <si>
    <t xml:space="preserve">SAMPLE DOCUMENT SUBMISSION CYCLE</t>
  </si>
  <si>
    <t xml:space="preserve">Document: VSL-SLR-ELE-DRG-0008 — Plant Single Line Diagram (SLD)  |  Full cycle from first issue to construction release</t>
  </si>
  <si>
    <t xml:space="preserve">Date</t>
  </si>
  <si>
    <t xml:space="preserve">Action / Outcome</t>
  </si>
  <si>
    <t xml:space="preserve">TR-0003-A</t>
  </si>
  <si>
    <t xml:space="preserve">05-May-26</t>
  </si>
  <si>
    <t xml:space="preserve">A</t>
  </si>
  <si>
    <t xml:space="preserve">SLD issued for review — first submission alongside 2 other Electrical drawings in the same transmittal group.</t>
  </si>
  <si>
    <t xml:space="preserve">TR-C-0001</t>
  </si>
  <si>
    <t xml:space="preserve">12-May-26</t>
  </si>
  <si>
    <t xml:space="preserve">Client returns transmittal with comments — tap-setting query on the transformer schematic. Status logged as Returned with Comments (REJ) in the MDR.</t>
  </si>
  <si>
    <t xml:space="preserve">TR-0003-B</t>
  </si>
  <si>
    <t xml:space="preserve">20-May-26</t>
  </si>
  <si>
    <t xml:space="preserve">C</t>
  </si>
  <si>
    <t xml:space="preserve">Revised SLD re-issued for formal approval after incorporating comments. Rev advances from A (draft) to C (issued for approval).</t>
  </si>
  <si>
    <t xml:space="preserve">TR-C-0002</t>
  </si>
  <si>
    <t xml:space="preserve">02-Jun-26</t>
  </si>
  <si>
    <t xml:space="preserve">Client returns transmittal with formal approval — no further comments. Document Controller updates MDR status to Issued for Construction (IFC), Rev 0.</t>
  </si>
  <si>
    <t xml:space="preserve">03-Jun-26</t>
  </si>
  <si>
    <t xml:space="preserve">0</t>
  </si>
  <si>
    <t xml:space="preserve">Approved Rev 0 distributed to site via internal transmittal for construction release.</t>
  </si>
  <si>
    <t xml:space="preserve">Note:</t>
  </si>
  <si>
    <t xml:space="preserve">TR-0003 covers the outgoing submission and re-submission (grouped under one reference, suffixed -A/-B for each issue); TR-C-#### references are incoming transmittals received from the client. This mirrors how Aconex/ProjectWise separate outgoing and incoming transmittal numbering while keeping both linked to the same document.</t>
  </si>
  <si>
    <t xml:space="preserve">LEGEND, BLANK TEMPLATE &amp; HOW TO USE</t>
  </si>
  <si>
    <t xml:space="preserve">Transmittal Numbering</t>
  </si>
  <si>
    <t xml:space="preserve">TR-&lt;SEQUENCE&gt;  (outgoing, from VoltSun Labs)   |   TR-C-&lt;SEQUENCE&gt;  (incoming, from client/consultant)</t>
  </si>
  <si>
    <t xml:space="preserve">Purpose Codes</t>
  </si>
  <si>
    <t xml:space="preserve">Meaning</t>
  </si>
  <si>
    <t xml:space="preserve">Recipient reviews and returns comments; not yet a formal approval request.</t>
  </si>
  <si>
    <t xml:space="preserve">Formal submission requiring sign-off before the document can proceed to IFC/AFC.</t>
  </si>
  <si>
    <t xml:space="preserve">Shared for awareness only; no response or action required.</t>
  </si>
  <si>
    <t xml:space="preserve">Approved document released to site for execution.</t>
  </si>
  <si>
    <t xml:space="preserve">Status Definitions</t>
  </si>
  <si>
    <t xml:space="preserve">Definition</t>
  </si>
  <si>
    <t xml:space="preserve">Within the response due date; awaiting recipient action.</t>
  </si>
  <si>
    <t xml:space="preserve">Response received and logged; documents updated in the MDR accordingly.</t>
  </si>
  <si>
    <t xml:space="preserve">Past the response due date with no reply — requires Document Controller follow-up.</t>
  </si>
  <si>
    <t xml:space="preserve">Blank Transmittal Cover Sheet (copy for manual use)</t>
  </si>
  <si>
    <t xml:space="preserve">Project</t>
  </si>
  <si>
    <t xml:space="preserve">50 MW Solar PV Plant with 20 MWh BESS</t>
  </si>
  <si>
    <t xml:space="preserve">For Review / For Approval / For Information / For Construction</t>
  </si>
  <si>
    <t xml:space="preserve">(Doc No. — Title — Rev, one per line)</t>
  </si>
  <si>
    <t xml:space="preserve">Prepared By</t>
  </si>
  <si>
    <t xml:space="preserve">[Your Name], Document Controller</t>
  </si>
  <si>
    <t xml:space="preserve">How to Use This Log</t>
  </si>
  <si>
    <t xml:space="preserve">1. Every document leaving or entering the project is logged as a transmittal — never sent as a standalone email attachment.</t>
  </si>
  <si>
    <t xml:space="preserve">2. Group related documents under one transmittal where they are issued together (see Transmittal Log sheet).</t>
  </si>
  <si>
    <t xml:space="preserve">3. The Transmittal Ref recorded here matches the 'Transmittal Ref' column in the Master Document Register (Project 1) — cross-check both when updating status.</t>
  </si>
  <si>
    <t xml:space="preserve">4. Update Status to Closed as soon as a response is logged; the Dashboard recalculates automatically.</t>
  </si>
  <si>
    <t xml:space="preserve">5. Review the log weekly and flag anything Overdue to the Project Head / PMO per the Document Control Procedure (Project 3).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</si>
</sst>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\-mmm\-yy"/>
    <numFmt numFmtId="166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4"/>
      <color rgb="FF1F4E78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1"/>
      <color rgb="FF1F4E78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8CBAD"/>
        <bgColor rgb="FFD9D9D9"/>
      </patternFill>
    </fill>
    <fill>
      <patternFill patternType="solid">
        <fgColor rgb="FFE2EFDA"/>
        <bgColor rgb="FFEDF2F9"/>
      </patternFill>
    </fill>
    <fill>
      <patternFill patternType="solid">
        <fgColor rgb="FFFFF2CC"/>
        <bgColor rgb="FFE2EFDA"/>
      </patternFill>
    </fill>
    <fill>
      <patternFill patternType="solid">
        <fgColor rgb="FFEDF2F9"/>
        <bgColor rgb="FFE2EFDA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C0504D"/>
      <rgbColor rgb="FFFFF2CC"/>
      <rgbColor rgb="FFEDF2F9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8CBAD"/>
      <rgbColor rgb="FF4F81BD"/>
      <rgbColor rgb="FF33CCCC"/>
      <rgbColor rgb="FF9BBB59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Transmittals by Status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Dashboard!B10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Dashboard!$A$11:$A$13</c:f>
              <c:strCache>
                <c:ptCount val="3"/>
                <c:pt idx="0">
                  <c:v>Open</c:v>
                </c:pt>
                <c:pt idx="1">
                  <c:v>Closed</c:v>
                </c:pt>
                <c:pt idx="2">
                  <c:v>Overdue</c:v>
                </c:pt>
              </c:strCache>
            </c:strRef>
          </c:cat>
          <c:val>
            <c:numRef>
              <c:f>Dashboard!$B$11:$B$13</c:f>
              <c:numCache>
                <c:formatCode>General</c:formatCode>
                <c:ptCount val="3"/>
                <c:pt idx="0">
                  <c:v>4</c:v>
                </c:pt>
                <c:pt idx="1">
                  <c:v>6</c:v>
                </c:pt>
                <c:pt idx="2">
                  <c:v>3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Transmittals by Purpose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Dashboard!B16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Dashboard!$A$17:$A$20</c:f>
              <c:strCache>
                <c:ptCount val="4"/>
                <c:pt idx="0">
                  <c:v>For Review</c:v>
                </c:pt>
                <c:pt idx="1">
                  <c:v>For Approval</c:v>
                </c:pt>
                <c:pt idx="2">
                  <c:v>For Information</c:v>
                </c:pt>
                <c:pt idx="3">
                  <c:v>For Construction</c:v>
                </c:pt>
              </c:strCache>
            </c:strRef>
          </c:cat>
          <c:val>
            <c:numRef>
              <c:f>Dashboard!$B$17:$B$20</c:f>
              <c:numCache>
                <c:formatCode>General</c:formatCode>
                <c:ptCount val="4"/>
                <c:pt idx="0">
                  <c:v>4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</c:numCache>
            </c:numRef>
          </c:val>
        </c:ser>
        <c:gapWidth val="150"/>
        <c:overlap val="0"/>
        <c:axId val="56041847"/>
        <c:axId val="53401549"/>
      </c:barChart>
      <c:catAx>
        <c:axId val="560418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3401549"/>
        <c:crosses val="autoZero"/>
        <c:auto val="1"/>
        <c:lblAlgn val="ctr"/>
        <c:lblOffset val="100"/>
        <c:noMultiLvlLbl val="0"/>
      </c:catAx>
      <c:valAx>
        <c:axId val="5340154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604184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2</xdr:row>
      <xdr:rowOff>131040</xdr:rowOff>
    </xdr:from>
    <xdr:to>
      <xdr:col>11</xdr:col>
      <xdr:colOff>39240</xdr:colOff>
      <xdr:row>17</xdr:row>
      <xdr:rowOff>33840</xdr:rowOff>
    </xdr:to>
    <xdr:graphicFrame>
      <xdr:nvGraphicFramePr>
        <xdr:cNvPr id="0" name="Chart 1"/>
        <xdr:cNvGraphicFramePr/>
      </xdr:nvGraphicFramePr>
      <xdr:xfrm>
        <a:off x="5968440" y="571680"/>
        <a:ext cx="43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0</xdr:colOff>
      <xdr:row>18</xdr:row>
      <xdr:rowOff>11520</xdr:rowOff>
    </xdr:from>
    <xdr:to>
      <xdr:col>13</xdr:col>
      <xdr:colOff>256320</xdr:colOff>
      <xdr:row>33</xdr:row>
      <xdr:rowOff>33480</xdr:rowOff>
    </xdr:to>
    <xdr:graphicFrame>
      <xdr:nvGraphicFramePr>
        <xdr:cNvPr id="1" name="Chart 2"/>
        <xdr:cNvGraphicFramePr/>
      </xdr:nvGraphicFramePr>
      <xdr:xfrm>
        <a:off x="5968440" y="361944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5" min="4" style="0" width="20"/>
    <col collapsed="false" customWidth="true" hidden="false" outlineLevel="0" max="6" min="6" style="0" width="16"/>
    <col collapsed="false" customWidth="true" hidden="false" outlineLevel="0" max="7" min="7" style="0" width="44"/>
    <col collapsed="false" customWidth="true" hidden="false" outlineLevel="0" max="8" min="8" style="0" width="6"/>
    <col collapsed="false" customWidth="true" hidden="false" outlineLevel="0" max="9" min="9" style="0" width="16"/>
    <col collapsed="false" customWidth="true" hidden="false" outlineLevel="0" max="11" min="10" style="0" width="10"/>
    <col collapsed="false" customWidth="true" hidden="false" outlineLevel="0" max="12" min="12" style="0" width="26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15" hidden="false" customHeight="false" outlineLevel="0" collapsed="false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5" customFormat="false" ht="23.85" hidden="false" customHeight="false" outlineLevel="0" collapsed="false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  <c r="J5" s="3" t="s">
        <v>12</v>
      </c>
      <c r="K5" s="3" t="s">
        <v>13</v>
      </c>
      <c r="L5" s="3" t="s">
        <v>14</v>
      </c>
    </row>
    <row r="6" customFormat="false" ht="46.25" hidden="false" customHeight="false" outlineLevel="0" collapsed="false">
      <c r="A6" s="4" t="n">
        <v>1</v>
      </c>
      <c r="B6" s="4" t="s">
        <v>15</v>
      </c>
      <c r="C6" s="5" t="n">
        <v>46155</v>
      </c>
      <c r="D6" s="6" t="s">
        <v>16</v>
      </c>
      <c r="E6" s="6" t="s">
        <v>17</v>
      </c>
      <c r="F6" s="6" t="s">
        <v>18</v>
      </c>
      <c r="G6" s="6" t="s">
        <v>19</v>
      </c>
      <c r="H6" s="4" t="s">
        <v>20</v>
      </c>
      <c r="I6" s="5" t="n">
        <v>46162</v>
      </c>
      <c r="J6" s="7" t="s">
        <v>21</v>
      </c>
      <c r="K6" s="4" t="n">
        <v>100</v>
      </c>
      <c r="L6" s="6" t="s">
        <v>22</v>
      </c>
    </row>
    <row r="7" customFormat="false" ht="46.25" hidden="false" customHeight="false" outlineLevel="0" collapsed="false">
      <c r="A7" s="4" t="n">
        <v>2</v>
      </c>
      <c r="B7" s="4" t="s">
        <v>23</v>
      </c>
      <c r="C7" s="5" t="n">
        <v>46167</v>
      </c>
      <c r="D7" s="6" t="s">
        <v>16</v>
      </c>
      <c r="E7" s="6" t="s">
        <v>24</v>
      </c>
      <c r="F7" s="6" t="s">
        <v>25</v>
      </c>
      <c r="G7" s="6" t="s">
        <v>26</v>
      </c>
      <c r="H7" s="4" t="s">
        <v>20</v>
      </c>
      <c r="I7" s="5" t="n">
        <v>46177</v>
      </c>
      <c r="J7" s="8" t="s">
        <v>27</v>
      </c>
      <c r="K7" s="4" t="n">
        <v>10</v>
      </c>
      <c r="L7" s="6" t="s">
        <v>28</v>
      </c>
    </row>
    <row r="8" customFormat="false" ht="46.25" hidden="false" customHeight="false" outlineLevel="0" collapsed="false">
      <c r="A8" s="4" t="n">
        <v>3</v>
      </c>
      <c r="B8" s="4" t="s">
        <v>29</v>
      </c>
      <c r="C8" s="5" t="n">
        <v>46179</v>
      </c>
      <c r="D8" s="6" t="s">
        <v>30</v>
      </c>
      <c r="E8" s="6" t="s">
        <v>31</v>
      </c>
      <c r="F8" s="6" t="s">
        <v>32</v>
      </c>
      <c r="G8" s="6" t="s">
        <v>33</v>
      </c>
      <c r="H8" s="4" t="s">
        <v>20</v>
      </c>
      <c r="I8" s="5" t="n">
        <v>46189</v>
      </c>
      <c r="J8" s="8" t="s">
        <v>27</v>
      </c>
      <c r="K8" s="4" t="n">
        <v>10</v>
      </c>
      <c r="L8" s="6" t="s">
        <v>28</v>
      </c>
    </row>
    <row r="9" customFormat="false" ht="46.25" hidden="false" customHeight="false" outlineLevel="0" collapsed="false">
      <c r="A9" s="4" t="n">
        <v>4</v>
      </c>
      <c r="B9" s="4" t="s">
        <v>34</v>
      </c>
      <c r="C9" s="5" t="n">
        <v>46191</v>
      </c>
      <c r="D9" s="6" t="s">
        <v>17</v>
      </c>
      <c r="E9" s="6" t="s">
        <v>16</v>
      </c>
      <c r="F9" s="6" t="s">
        <v>35</v>
      </c>
      <c r="G9" s="6" t="s">
        <v>36</v>
      </c>
      <c r="H9" s="4" t="s">
        <v>20</v>
      </c>
      <c r="I9" s="5" t="n">
        <v>46201</v>
      </c>
      <c r="J9" s="9" t="s">
        <v>37</v>
      </c>
      <c r="K9" s="4" t="n">
        <v>64</v>
      </c>
      <c r="L9" s="6" t="s">
        <v>38</v>
      </c>
    </row>
    <row r="10" customFormat="false" ht="46.25" hidden="false" customHeight="false" outlineLevel="0" collapsed="false">
      <c r="A10" s="4" t="n">
        <v>5</v>
      </c>
      <c r="B10" s="4" t="s">
        <v>39</v>
      </c>
      <c r="C10" s="5" t="n">
        <v>46203</v>
      </c>
      <c r="D10" s="6" t="s">
        <v>16</v>
      </c>
      <c r="E10" s="6" t="s">
        <v>17</v>
      </c>
      <c r="F10" s="6" t="s">
        <v>18</v>
      </c>
      <c r="G10" s="6" t="s">
        <v>40</v>
      </c>
      <c r="H10" s="4" t="s">
        <v>20</v>
      </c>
      <c r="I10" s="5" t="n">
        <v>46210</v>
      </c>
      <c r="J10" s="8" t="s">
        <v>27</v>
      </c>
      <c r="K10" s="4" t="n">
        <v>7</v>
      </c>
      <c r="L10" s="6" t="s">
        <v>28</v>
      </c>
    </row>
    <row r="11" customFormat="false" ht="57.45" hidden="false" customHeight="false" outlineLevel="0" collapsed="false">
      <c r="A11" s="4" t="n">
        <v>6</v>
      </c>
      <c r="B11" s="4" t="s">
        <v>41</v>
      </c>
      <c r="C11" s="5" t="n">
        <v>46215</v>
      </c>
      <c r="D11" s="6" t="s">
        <v>16</v>
      </c>
      <c r="E11" s="6" t="s">
        <v>24</v>
      </c>
      <c r="F11" s="6" t="s">
        <v>25</v>
      </c>
      <c r="G11" s="6" t="s">
        <v>42</v>
      </c>
      <c r="H11" s="4" t="s">
        <v>20</v>
      </c>
      <c r="I11" s="5" t="n">
        <v>46225</v>
      </c>
      <c r="J11" s="7" t="s">
        <v>21</v>
      </c>
      <c r="K11" s="4" t="n">
        <v>40</v>
      </c>
      <c r="L11" s="6" t="s">
        <v>22</v>
      </c>
    </row>
    <row r="12" customFormat="false" ht="57.45" hidden="false" customHeight="false" outlineLevel="0" collapsed="false">
      <c r="A12" s="4" t="n">
        <v>7</v>
      </c>
      <c r="B12" s="4" t="s">
        <v>43</v>
      </c>
      <c r="C12" s="5" t="n">
        <v>46227</v>
      </c>
      <c r="D12" s="6" t="s">
        <v>30</v>
      </c>
      <c r="E12" s="6" t="s">
        <v>31</v>
      </c>
      <c r="F12" s="6" t="s">
        <v>32</v>
      </c>
      <c r="G12" s="6" t="s">
        <v>44</v>
      </c>
      <c r="H12" s="4" t="s">
        <v>20</v>
      </c>
      <c r="I12" s="5" t="n">
        <v>46237</v>
      </c>
      <c r="J12" s="9" t="s">
        <v>37</v>
      </c>
      <c r="K12" s="4" t="n">
        <v>28</v>
      </c>
      <c r="L12" s="6" t="s">
        <v>38</v>
      </c>
    </row>
    <row r="13" customFormat="false" ht="46.25" hidden="false" customHeight="false" outlineLevel="0" collapsed="false">
      <c r="A13" s="4" t="n">
        <v>8</v>
      </c>
      <c r="B13" s="4" t="s">
        <v>45</v>
      </c>
      <c r="C13" s="5" t="n">
        <v>46231</v>
      </c>
      <c r="D13" s="6" t="s">
        <v>17</v>
      </c>
      <c r="E13" s="6" t="s">
        <v>16</v>
      </c>
      <c r="F13" s="6" t="s">
        <v>35</v>
      </c>
      <c r="G13" s="6" t="s">
        <v>46</v>
      </c>
      <c r="H13" s="4" t="s">
        <v>20</v>
      </c>
      <c r="I13" s="5" t="n">
        <v>46241</v>
      </c>
      <c r="J13" s="8" t="s">
        <v>27</v>
      </c>
      <c r="K13" s="4" t="n">
        <v>10</v>
      </c>
      <c r="L13" s="6" t="s">
        <v>28</v>
      </c>
    </row>
    <row r="14" customFormat="false" ht="46.25" hidden="false" customHeight="false" outlineLevel="0" collapsed="false">
      <c r="A14" s="4" t="n">
        <v>9</v>
      </c>
      <c r="B14" s="4" t="s">
        <v>47</v>
      </c>
      <c r="C14" s="5" t="n">
        <v>46161</v>
      </c>
      <c r="D14" s="6" t="s">
        <v>16</v>
      </c>
      <c r="E14" s="6" t="s">
        <v>17</v>
      </c>
      <c r="F14" s="6" t="s">
        <v>18</v>
      </c>
      <c r="G14" s="6" t="s">
        <v>48</v>
      </c>
      <c r="H14" s="4" t="s">
        <v>20</v>
      </c>
      <c r="I14" s="5" t="n">
        <v>46168</v>
      </c>
      <c r="J14" s="8" t="s">
        <v>27</v>
      </c>
      <c r="K14" s="4" t="n">
        <v>7</v>
      </c>
      <c r="L14" s="6" t="s">
        <v>28</v>
      </c>
    </row>
    <row r="15" customFormat="false" ht="46.25" hidden="false" customHeight="false" outlineLevel="0" collapsed="false">
      <c r="A15" s="4" t="n">
        <v>10</v>
      </c>
      <c r="B15" s="4" t="s">
        <v>49</v>
      </c>
      <c r="C15" s="5" t="n">
        <v>46173</v>
      </c>
      <c r="D15" s="6" t="s">
        <v>16</v>
      </c>
      <c r="E15" s="6" t="s">
        <v>24</v>
      </c>
      <c r="F15" s="6" t="s">
        <v>25</v>
      </c>
      <c r="G15" s="6" t="s">
        <v>50</v>
      </c>
      <c r="H15" s="4" t="s">
        <v>20</v>
      </c>
      <c r="I15" s="5" t="n">
        <v>46183</v>
      </c>
      <c r="J15" s="9" t="s">
        <v>37</v>
      </c>
      <c r="K15" s="4" t="n">
        <v>82</v>
      </c>
      <c r="L15" s="6" t="s">
        <v>38</v>
      </c>
    </row>
    <row r="16" customFormat="false" ht="57.45" hidden="false" customHeight="false" outlineLevel="0" collapsed="false">
      <c r="A16" s="4" t="n">
        <v>11</v>
      </c>
      <c r="B16" s="4" t="s">
        <v>51</v>
      </c>
      <c r="C16" s="5" t="n">
        <v>46185</v>
      </c>
      <c r="D16" s="6" t="s">
        <v>30</v>
      </c>
      <c r="E16" s="6" t="s">
        <v>31</v>
      </c>
      <c r="F16" s="6" t="s">
        <v>32</v>
      </c>
      <c r="G16" s="6" t="s">
        <v>52</v>
      </c>
      <c r="H16" s="4" t="s">
        <v>20</v>
      </c>
      <c r="I16" s="5" t="n">
        <v>46195</v>
      </c>
      <c r="J16" s="7" t="s">
        <v>21</v>
      </c>
      <c r="K16" s="4" t="n">
        <v>70</v>
      </c>
      <c r="L16" s="6" t="s">
        <v>22</v>
      </c>
    </row>
    <row r="17" customFormat="false" ht="46.25" hidden="false" customHeight="false" outlineLevel="0" collapsed="false">
      <c r="A17" s="4" t="n">
        <v>12</v>
      </c>
      <c r="B17" s="4" t="s">
        <v>53</v>
      </c>
      <c r="C17" s="5" t="n">
        <v>46197</v>
      </c>
      <c r="D17" s="6" t="s">
        <v>17</v>
      </c>
      <c r="E17" s="6" t="s">
        <v>16</v>
      </c>
      <c r="F17" s="6" t="s">
        <v>35</v>
      </c>
      <c r="G17" s="6" t="s">
        <v>54</v>
      </c>
      <c r="H17" s="4" t="s">
        <v>20</v>
      </c>
      <c r="I17" s="5" t="n">
        <v>46207</v>
      </c>
      <c r="J17" s="8" t="s">
        <v>27</v>
      </c>
      <c r="K17" s="4" t="n">
        <v>10</v>
      </c>
      <c r="L17" s="6" t="s">
        <v>28</v>
      </c>
    </row>
    <row r="18" customFormat="false" ht="23.85" hidden="false" customHeight="false" outlineLevel="0" collapsed="false">
      <c r="A18" s="4" t="n">
        <v>13</v>
      </c>
      <c r="B18" s="4" t="s">
        <v>55</v>
      </c>
      <c r="C18" s="5" t="n">
        <v>46201</v>
      </c>
      <c r="D18" s="6" t="s">
        <v>16</v>
      </c>
      <c r="E18" s="6" t="s">
        <v>17</v>
      </c>
      <c r="F18" s="6" t="s">
        <v>18</v>
      </c>
      <c r="G18" s="6" t="s">
        <v>56</v>
      </c>
      <c r="H18" s="4" t="s">
        <v>20</v>
      </c>
      <c r="I18" s="5" t="n">
        <v>46208</v>
      </c>
      <c r="J18" s="9" t="s">
        <v>37</v>
      </c>
      <c r="K18" s="4" t="n">
        <v>54</v>
      </c>
      <c r="L18" s="6" t="s">
        <v>38</v>
      </c>
    </row>
  </sheetData>
  <autoFilter ref="A5:L18"/>
  <mergeCells count="3">
    <mergeCell ref="A1:L1"/>
    <mergeCell ref="A2:L2"/>
    <mergeCell ref="A3:L3"/>
  </mergeCells>
  <dataValidations count="1">
    <dataValidation allowBlank="true" errorStyle="stop" operator="between" showDropDown="false" showErrorMessage="false" showInputMessage="false" sqref="J6:J68" type="list">
      <formula1>"Open,Closed,Overdue"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30"/>
    <col collapsed="false" customWidth="true" hidden="false" outlineLevel="0" max="3" min="3" style="0" width="16"/>
  </cols>
  <sheetData>
    <row r="1" customFormat="false" ht="19.7" hidden="false" customHeight="false" outlineLevel="0" collapsed="false">
      <c r="A1" s="1" t="s">
        <v>57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58</v>
      </c>
      <c r="B2" s="2"/>
      <c r="C2" s="2"/>
      <c r="D2" s="2"/>
      <c r="E2" s="2"/>
      <c r="F2" s="2"/>
    </row>
    <row r="4" customFormat="false" ht="17.35" hidden="false" customHeight="false" outlineLevel="0" collapsed="false">
      <c r="A4" s="10" t="s">
        <v>59</v>
      </c>
      <c r="B4" s="11"/>
      <c r="C4" s="12" t="n">
        <f aca="false">COUNTA('Transmittal Log'!B6:B1000)</f>
        <v>13</v>
      </c>
    </row>
    <row r="5" customFormat="false" ht="17.35" hidden="false" customHeight="false" outlineLevel="0" collapsed="false">
      <c r="A5" s="10" t="s">
        <v>27</v>
      </c>
      <c r="B5" s="11"/>
      <c r="C5" s="12" t="n">
        <f aca="false">COUNTIF('Transmittal Log'!J6:J1000,"Closed")</f>
        <v>6</v>
      </c>
    </row>
    <row r="6" customFormat="false" ht="17.35" hidden="false" customHeight="false" outlineLevel="0" collapsed="false">
      <c r="A6" s="10" t="s">
        <v>60</v>
      </c>
      <c r="B6" s="11"/>
      <c r="C6" s="12" t="n">
        <f aca="false">COUNTIF('Transmittal Log'!J6:J1000,"Open")</f>
        <v>4</v>
      </c>
    </row>
    <row r="7" customFormat="false" ht="17.35" hidden="false" customHeight="false" outlineLevel="0" collapsed="false">
      <c r="A7" s="10" t="s">
        <v>21</v>
      </c>
      <c r="B7" s="11"/>
      <c r="C7" s="12" t="n">
        <f aca="false">COUNTIF('Transmittal Log'!J6:J1000,"Overdue")</f>
        <v>3</v>
      </c>
    </row>
    <row r="9" customFormat="false" ht="15" hidden="false" customHeight="false" outlineLevel="0" collapsed="false">
      <c r="A9" s="13" t="s">
        <v>61</v>
      </c>
    </row>
    <row r="10" customFormat="false" ht="15" hidden="false" customHeight="false" outlineLevel="0" collapsed="false">
      <c r="A10" s="3" t="s">
        <v>12</v>
      </c>
      <c r="B10" s="3" t="s">
        <v>62</v>
      </c>
    </row>
    <row r="11" customFormat="false" ht="15" hidden="false" customHeight="false" outlineLevel="0" collapsed="false">
      <c r="A11" s="6" t="s">
        <v>37</v>
      </c>
      <c r="B11" s="4" t="n">
        <f aca="false">COUNTIF('Transmittal Log'!J6:J1000,"Open")</f>
        <v>4</v>
      </c>
    </row>
    <row r="12" customFormat="false" ht="15" hidden="false" customHeight="false" outlineLevel="0" collapsed="false">
      <c r="A12" s="6" t="s">
        <v>27</v>
      </c>
      <c r="B12" s="4" t="n">
        <f aca="false">COUNTIF('Transmittal Log'!J6:J1000,"Closed")</f>
        <v>6</v>
      </c>
    </row>
    <row r="13" customFormat="false" ht="15" hidden="false" customHeight="false" outlineLevel="0" collapsed="false">
      <c r="A13" s="6" t="s">
        <v>21</v>
      </c>
      <c r="B13" s="4" t="n">
        <f aca="false">COUNTIF('Transmittal Log'!J6:J1000,"Overdue")</f>
        <v>3</v>
      </c>
    </row>
    <row r="15" customFormat="false" ht="15" hidden="false" customHeight="false" outlineLevel="0" collapsed="false">
      <c r="A15" s="13" t="s">
        <v>63</v>
      </c>
    </row>
    <row r="16" customFormat="false" ht="15" hidden="false" customHeight="false" outlineLevel="0" collapsed="false">
      <c r="A16" s="3" t="s">
        <v>8</v>
      </c>
      <c r="B16" s="3" t="s">
        <v>62</v>
      </c>
    </row>
    <row r="17" customFormat="false" ht="15" hidden="false" customHeight="false" outlineLevel="0" collapsed="false">
      <c r="A17" s="6" t="s">
        <v>18</v>
      </c>
      <c r="B17" s="4" t="n">
        <f aca="false">COUNTIF('Transmittal Log'!F6:F1000,"For Review")</f>
        <v>4</v>
      </c>
    </row>
    <row r="18" customFormat="false" ht="15" hidden="false" customHeight="false" outlineLevel="0" collapsed="false">
      <c r="A18" s="6" t="s">
        <v>25</v>
      </c>
      <c r="B18" s="4" t="n">
        <f aca="false">COUNTIF('Transmittal Log'!F6:F1000,"For Approval")</f>
        <v>3</v>
      </c>
    </row>
    <row r="19" customFormat="false" ht="15" hidden="false" customHeight="false" outlineLevel="0" collapsed="false">
      <c r="A19" s="6" t="s">
        <v>32</v>
      </c>
      <c r="B19" s="4" t="n">
        <f aca="false">COUNTIF('Transmittal Log'!F6:F1000,"For Information")</f>
        <v>3</v>
      </c>
    </row>
    <row r="20" customFormat="false" ht="15" hidden="false" customHeight="false" outlineLevel="0" collapsed="false">
      <c r="A20" s="6" t="s">
        <v>35</v>
      </c>
      <c r="B20" s="4" t="n">
        <f aca="false">COUNTIF('Transmittal Log'!F6:F1000,"For Construction")</f>
        <v>3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  <col collapsed="false" customWidth="true" hidden="false" outlineLevel="0" max="4" min="3" style="0" width="24"/>
    <col collapsed="false" customWidth="true" hidden="false" outlineLevel="0" max="5" min="5" style="0" width="10"/>
    <col collapsed="false" customWidth="true" hidden="false" outlineLevel="0" max="6" min="6" style="0" width="42"/>
  </cols>
  <sheetData>
    <row r="1" customFormat="false" ht="19.7" hidden="false" customHeight="false" outlineLevel="0" collapsed="false">
      <c r="A1" s="1" t="s">
        <v>64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65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4</v>
      </c>
      <c r="B4" s="3" t="s">
        <v>66</v>
      </c>
      <c r="C4" s="3" t="s">
        <v>6</v>
      </c>
      <c r="D4" s="3" t="s">
        <v>7</v>
      </c>
      <c r="E4" s="3" t="s">
        <v>10</v>
      </c>
      <c r="F4" s="3" t="s">
        <v>67</v>
      </c>
    </row>
    <row r="5" customFormat="false" ht="35.05" hidden="false" customHeight="false" outlineLevel="0" collapsed="false">
      <c r="A5" s="4" t="s">
        <v>68</v>
      </c>
      <c r="B5" s="4" t="s">
        <v>69</v>
      </c>
      <c r="C5" s="6" t="s">
        <v>16</v>
      </c>
      <c r="D5" s="6" t="s">
        <v>17</v>
      </c>
      <c r="E5" s="4" t="s">
        <v>70</v>
      </c>
      <c r="F5" s="6" t="s">
        <v>71</v>
      </c>
    </row>
    <row r="6" customFormat="false" ht="46.25" hidden="false" customHeight="false" outlineLevel="0" collapsed="false">
      <c r="A6" s="4" t="s">
        <v>72</v>
      </c>
      <c r="B6" s="4" t="s">
        <v>73</v>
      </c>
      <c r="C6" s="6" t="s">
        <v>17</v>
      </c>
      <c r="D6" s="6" t="s">
        <v>16</v>
      </c>
      <c r="E6" s="4" t="s">
        <v>70</v>
      </c>
      <c r="F6" s="6" t="s">
        <v>74</v>
      </c>
    </row>
    <row r="7" customFormat="false" ht="35.05" hidden="false" customHeight="false" outlineLevel="0" collapsed="false">
      <c r="A7" s="4" t="s">
        <v>75</v>
      </c>
      <c r="B7" s="4" t="s">
        <v>76</v>
      </c>
      <c r="C7" s="6" t="s">
        <v>16</v>
      </c>
      <c r="D7" s="6" t="s">
        <v>17</v>
      </c>
      <c r="E7" s="4" t="s">
        <v>77</v>
      </c>
      <c r="F7" s="6" t="s">
        <v>78</v>
      </c>
    </row>
    <row r="8" customFormat="false" ht="35.05" hidden="false" customHeight="false" outlineLevel="0" collapsed="false">
      <c r="A8" s="4" t="s">
        <v>79</v>
      </c>
      <c r="B8" s="4" t="s">
        <v>80</v>
      </c>
      <c r="C8" s="6" t="s">
        <v>17</v>
      </c>
      <c r="D8" s="6" t="s">
        <v>16</v>
      </c>
      <c r="E8" s="4" t="s">
        <v>77</v>
      </c>
      <c r="F8" s="6" t="s">
        <v>81</v>
      </c>
    </row>
    <row r="9" customFormat="false" ht="23.85" hidden="false" customHeight="false" outlineLevel="0" collapsed="false">
      <c r="A9" s="4" t="s">
        <v>34</v>
      </c>
      <c r="B9" s="4" t="s">
        <v>82</v>
      </c>
      <c r="C9" s="6" t="s">
        <v>30</v>
      </c>
      <c r="D9" s="6" t="s">
        <v>31</v>
      </c>
      <c r="E9" s="4" t="s">
        <v>83</v>
      </c>
      <c r="F9" s="6" t="s">
        <v>84</v>
      </c>
    </row>
    <row r="11" customFormat="false" ht="15" hidden="false" customHeight="false" outlineLevel="0" collapsed="false">
      <c r="A11" s="13" t="s">
        <v>85</v>
      </c>
    </row>
    <row r="12" customFormat="false" ht="35.05" hidden="false" customHeight="true" outlineLevel="0" collapsed="false">
      <c r="A12" s="14" t="s">
        <v>86</v>
      </c>
      <c r="B12" s="14"/>
      <c r="C12" s="14"/>
      <c r="D12" s="14"/>
      <c r="E12" s="14"/>
      <c r="F12" s="14"/>
    </row>
  </sheetData>
  <mergeCells count="3">
    <mergeCell ref="A1:F1"/>
    <mergeCell ref="A2:F2"/>
    <mergeCell ref="A12:F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55"/>
    <col collapsed="false" customWidth="true" hidden="false" outlineLevel="0" max="4" min="3" style="0" width="20"/>
  </cols>
  <sheetData>
    <row r="1" customFormat="false" ht="19.7" hidden="false" customHeight="false" outlineLevel="0" collapsed="false">
      <c r="A1" s="1" t="s">
        <v>87</v>
      </c>
      <c r="B1" s="1"/>
      <c r="C1" s="1"/>
      <c r="D1" s="1"/>
    </row>
    <row r="3" customFormat="false" ht="15" hidden="false" customHeight="false" outlineLevel="0" collapsed="false">
      <c r="A3" s="13" t="s">
        <v>88</v>
      </c>
    </row>
    <row r="4" customFormat="false" ht="15" hidden="false" customHeight="false" outlineLevel="0" collapsed="false">
      <c r="A4" s="15" t="s">
        <v>89</v>
      </c>
    </row>
    <row r="6" customFormat="false" ht="15" hidden="false" customHeight="false" outlineLevel="0" collapsed="false">
      <c r="A6" s="3" t="s">
        <v>90</v>
      </c>
      <c r="B6" s="3" t="s">
        <v>91</v>
      </c>
    </row>
    <row r="7" customFormat="false" ht="23.85" hidden="false" customHeight="false" outlineLevel="0" collapsed="false">
      <c r="A7" s="6" t="s">
        <v>18</v>
      </c>
      <c r="B7" s="6" t="s">
        <v>92</v>
      </c>
    </row>
    <row r="8" customFormat="false" ht="23.85" hidden="false" customHeight="false" outlineLevel="0" collapsed="false">
      <c r="A8" s="6" t="s">
        <v>25</v>
      </c>
      <c r="B8" s="6" t="s">
        <v>93</v>
      </c>
    </row>
    <row r="9" customFormat="false" ht="15" hidden="false" customHeight="false" outlineLevel="0" collapsed="false">
      <c r="A9" s="6" t="s">
        <v>32</v>
      </c>
      <c r="B9" s="6" t="s">
        <v>94</v>
      </c>
    </row>
    <row r="10" customFormat="false" ht="15" hidden="false" customHeight="false" outlineLevel="0" collapsed="false">
      <c r="A10" s="6" t="s">
        <v>35</v>
      </c>
      <c r="B10" s="6" t="s">
        <v>95</v>
      </c>
    </row>
    <row r="12" customFormat="false" ht="15" hidden="false" customHeight="false" outlineLevel="0" collapsed="false">
      <c r="A12" s="13" t="s">
        <v>96</v>
      </c>
    </row>
    <row r="13" customFormat="false" ht="15" hidden="false" customHeight="false" outlineLevel="0" collapsed="false">
      <c r="A13" s="3" t="s">
        <v>12</v>
      </c>
      <c r="B13" s="3" t="s">
        <v>97</v>
      </c>
    </row>
    <row r="14" customFormat="false" ht="15" hidden="false" customHeight="false" outlineLevel="0" collapsed="false">
      <c r="A14" s="6" t="s">
        <v>37</v>
      </c>
      <c r="B14" s="6" t="s">
        <v>98</v>
      </c>
    </row>
    <row r="15" customFormat="false" ht="23.85" hidden="false" customHeight="false" outlineLevel="0" collapsed="false">
      <c r="A15" s="6" t="s">
        <v>27</v>
      </c>
      <c r="B15" s="6" t="s">
        <v>99</v>
      </c>
    </row>
    <row r="16" customFormat="false" ht="23.85" hidden="false" customHeight="false" outlineLevel="0" collapsed="false">
      <c r="A16" s="6" t="s">
        <v>21</v>
      </c>
      <c r="B16" s="6" t="s">
        <v>100</v>
      </c>
    </row>
    <row r="18" customFormat="false" ht="15" hidden="false" customHeight="false" outlineLevel="0" collapsed="false">
      <c r="A18" s="13" t="s">
        <v>101</v>
      </c>
    </row>
    <row r="19" customFormat="false" ht="15" hidden="false" customHeight="false" outlineLevel="0" collapsed="false">
      <c r="A19" s="16" t="s">
        <v>4</v>
      </c>
      <c r="B19" s="17"/>
      <c r="C19" s="17"/>
      <c r="D19" s="17"/>
    </row>
    <row r="20" customFormat="false" ht="15" hidden="false" customHeight="false" outlineLevel="0" collapsed="false">
      <c r="A20" s="16" t="s">
        <v>5</v>
      </c>
      <c r="B20" s="17"/>
      <c r="C20" s="17"/>
      <c r="D20" s="17"/>
    </row>
    <row r="21" customFormat="false" ht="15" hidden="false" customHeight="false" outlineLevel="0" collapsed="false">
      <c r="A21" s="16" t="s">
        <v>6</v>
      </c>
      <c r="B21" s="17"/>
      <c r="C21" s="17"/>
      <c r="D21" s="17"/>
    </row>
    <row r="22" customFormat="false" ht="15" hidden="false" customHeight="false" outlineLevel="0" collapsed="false">
      <c r="A22" s="16" t="s">
        <v>7</v>
      </c>
      <c r="B22" s="17"/>
      <c r="C22" s="17"/>
      <c r="D22" s="17"/>
    </row>
    <row r="23" customFormat="false" ht="15" hidden="false" customHeight="true" outlineLevel="0" collapsed="false">
      <c r="A23" s="16" t="s">
        <v>102</v>
      </c>
      <c r="B23" s="18" t="s">
        <v>103</v>
      </c>
      <c r="C23" s="18"/>
      <c r="D23" s="18"/>
    </row>
    <row r="24" customFormat="false" ht="15" hidden="false" customHeight="true" outlineLevel="0" collapsed="false">
      <c r="A24" s="16" t="s">
        <v>8</v>
      </c>
      <c r="B24" s="18" t="s">
        <v>104</v>
      </c>
      <c r="C24" s="18"/>
      <c r="D24" s="18"/>
    </row>
    <row r="25" customFormat="false" ht="15" hidden="false" customHeight="true" outlineLevel="0" collapsed="false">
      <c r="A25" s="16" t="s">
        <v>9</v>
      </c>
      <c r="B25" s="18" t="s">
        <v>105</v>
      </c>
      <c r="C25" s="18"/>
      <c r="D25" s="18"/>
    </row>
    <row r="26" customFormat="false" ht="15" hidden="false" customHeight="false" outlineLevel="0" collapsed="false">
      <c r="A26" s="16" t="s">
        <v>11</v>
      </c>
      <c r="B26" s="17"/>
      <c r="C26" s="17"/>
      <c r="D26" s="17"/>
    </row>
    <row r="27" customFormat="false" ht="15" hidden="false" customHeight="true" outlineLevel="0" collapsed="false">
      <c r="A27" s="16" t="s">
        <v>106</v>
      </c>
      <c r="B27" s="18" t="s">
        <v>107</v>
      </c>
      <c r="C27" s="18"/>
      <c r="D27" s="18"/>
    </row>
    <row r="29" customFormat="false" ht="15" hidden="false" customHeight="false" outlineLevel="0" collapsed="false">
      <c r="A29" s="13" t="s">
        <v>108</v>
      </c>
    </row>
    <row r="30" customFormat="false" ht="15" hidden="false" customHeight="true" outlineLevel="0" collapsed="false">
      <c r="A30" s="19" t="s">
        <v>109</v>
      </c>
      <c r="B30" s="19"/>
      <c r="C30" s="19"/>
      <c r="D30" s="19"/>
    </row>
    <row r="31" customFormat="false" ht="15" hidden="false" customHeight="true" outlineLevel="0" collapsed="false">
      <c r="A31" s="19" t="s">
        <v>110</v>
      </c>
      <c r="B31" s="19"/>
      <c r="C31" s="19"/>
      <c r="D31" s="19"/>
    </row>
    <row r="32" customFormat="false" ht="23.85" hidden="false" customHeight="true" outlineLevel="0" collapsed="false">
      <c r="A32" s="19" t="s">
        <v>111</v>
      </c>
      <c r="B32" s="19"/>
      <c r="C32" s="19"/>
      <c r="D32" s="19"/>
    </row>
    <row r="33" customFormat="false" ht="15" hidden="false" customHeight="true" outlineLevel="0" collapsed="false">
      <c r="A33" s="19" t="s">
        <v>112</v>
      </c>
      <c r="B33" s="19"/>
      <c r="C33" s="19"/>
      <c r="D33" s="19"/>
    </row>
    <row r="34" customFormat="false" ht="15" hidden="false" customHeight="true" outlineLevel="0" collapsed="false">
      <c r="A34" s="19" t="s">
        <v>113</v>
      </c>
      <c r="B34" s="19"/>
      <c r="C34" s="19"/>
      <c r="D34" s="19"/>
    </row>
  </sheetData>
  <mergeCells count="15">
    <mergeCell ref="A1:D1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A30:D30"/>
    <mergeCell ref="A31:D31"/>
    <mergeCell ref="A32:D32"/>
    <mergeCell ref="A33:D33"/>
    <mergeCell ref="A34:D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2026-08-22T13:54:00Z</dcterms:created>
  <dc:creator>openpyxl</dc:creator>
  <dc:description/>
  <dc:language>en-US</dc:language>
  <cp:lastModifiedBy/>
  <dcterms:modified xsi:type="dcterms:W3CDTF">2026-08-22T13:54:52Z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