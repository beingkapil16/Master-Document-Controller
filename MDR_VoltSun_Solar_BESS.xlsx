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DR" sheetId="1" state="visible" r:id="rId3"/>
    <sheet name="Dashboard" sheetId="2" state="visible" r:id="rId4"/>
    <sheet name="Revision History (Sample)" sheetId="3" state="visible" r:id="rId5"/>
    <sheet name="Legend &amp; Numbering Convention" sheetId="4" state="visible" r:id="rId6"/>
  </sheets>
  <definedNames>
    <definedName function="false" hidden="true" localSheetId="0" name="_xlnm._FilterDatabase" vbProcedure="false">MDR!$A$5:$M$42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<sst xmlns="http://schemas.openxmlformats.org/spreadsheetml/2006/main" count="561" uniqueCount="283">
  <si>
    <t xml:space="preserve">MASTER DOCUMENT REGISTER</t>
  </si>
  <si>
    <t xml:space="preserve">Project: 50 MW Solar PV Plant with 20 MWh BESS  |  VoltSun Labs (RJ Corp Group)  |  Doc Controller: [Your Name]</t>
  </si>
  <si>
    <t xml:space="preserve">Register updated as of: 21-Aug-2026</t>
  </si>
  <si>
    <t xml:space="preserve">S.No</t>
  </si>
  <si>
    <t xml:space="preserve">Document No.</t>
  </si>
  <si>
    <t xml:space="preserve">Document Title</t>
  </si>
  <si>
    <t xml:space="preserve">Discipline</t>
  </si>
  <si>
    <t xml:space="preserve">Doc Type</t>
  </si>
  <si>
    <t xml:space="preserve">Rev</t>
  </si>
  <si>
    <t xml:space="preserve">Status</t>
  </si>
  <si>
    <t xml:space="preserve">Originator</t>
  </si>
  <si>
    <t xml:space="preserve">Reviewer / Approver</t>
  </si>
  <si>
    <t xml:space="preserve">Issue Date</t>
  </si>
  <si>
    <t xml:space="preserve">Due Date</t>
  </si>
  <si>
    <t xml:space="preserve">Transmittal Ref</t>
  </si>
  <si>
    <t xml:space="preserve">Remarks</t>
  </si>
  <si>
    <t xml:space="preserve">VSL-SLR-CIV-DRG-0001</t>
  </si>
  <si>
    <t xml:space="preserve">Site Grading &amp; Levelling Plan</t>
  </si>
  <si>
    <t xml:space="preserve">Civil</t>
  </si>
  <si>
    <t xml:space="preserve">Layout Drawing</t>
  </si>
  <si>
    <t xml:space="preserve">0</t>
  </si>
  <si>
    <t xml:space="preserve">AFC</t>
  </si>
  <si>
    <t xml:space="preserve">R. Iyer (Civil)</t>
  </si>
  <si>
    <t xml:space="preserve">Discipline Lead - Civil</t>
  </si>
  <si>
    <t xml:space="preserve">TR-0001</t>
  </si>
  <si>
    <t xml:space="preserve">VSL-SLR-CIV-DRG-0002</t>
  </si>
  <si>
    <t xml:space="preserve">Module Table Foundation Layout</t>
  </si>
  <si>
    <t xml:space="preserve">IFC</t>
  </si>
  <si>
    <t xml:space="preserve">N. Verma (Civil)</t>
  </si>
  <si>
    <t xml:space="preserve">Discipline Lead - Electrical</t>
  </si>
  <si>
    <t xml:space="preserve">VSL-SLR-CIV-DRG-0003</t>
  </si>
  <si>
    <t xml:space="preserve">Pile Foundation Design - Zone A</t>
  </si>
  <si>
    <t xml:space="preserve">Foundation Design</t>
  </si>
  <si>
    <t xml:space="preserve">C</t>
  </si>
  <si>
    <t xml:space="preserve">IFA</t>
  </si>
  <si>
    <t xml:space="preserve">S. Khan (Civil)</t>
  </si>
  <si>
    <t xml:space="preserve">Discipline Lead - Mechanical</t>
  </si>
  <si>
    <t xml:space="preserve">VSL-SLR-CIV-DRG-0004</t>
  </si>
  <si>
    <t xml:space="preserve">Inverter/BESS Plinth Foundation Design</t>
  </si>
  <si>
    <t xml:space="preserve">A</t>
  </si>
  <si>
    <t xml:space="preserve">IFR</t>
  </si>
  <si>
    <t xml:space="preserve">P. Reddy (Civil)</t>
  </si>
  <si>
    <t xml:space="preserve">QA/QC Manager</t>
  </si>
  <si>
    <t xml:space="preserve">TR-0002</t>
  </si>
  <si>
    <t xml:space="preserve">Overdue - follow up with reviewer</t>
  </si>
  <si>
    <t xml:space="preserve">VSL-SLR-CIV-RPT-0005</t>
  </si>
  <si>
    <t xml:space="preserve">Soil Investigation Report</t>
  </si>
  <si>
    <t xml:space="preserve">Report</t>
  </si>
  <si>
    <t xml:space="preserve">1</t>
  </si>
  <si>
    <t xml:space="preserve">AB</t>
  </si>
  <si>
    <t xml:space="preserve">D. Bose (Civil)</t>
  </si>
  <si>
    <t xml:space="preserve">HSE Manager</t>
  </si>
  <si>
    <t xml:space="preserve">Closed out - construction complete</t>
  </si>
  <si>
    <t xml:space="preserve">VSL-SLR-CIV-DRG-0006</t>
  </si>
  <si>
    <t xml:space="preserve">Internal Road &amp; Drainage Layout</t>
  </si>
  <si>
    <t xml:space="preserve">Road Layout</t>
  </si>
  <si>
    <t xml:space="preserve">B</t>
  </si>
  <si>
    <t xml:space="preserve">REJ</t>
  </si>
  <si>
    <t xml:space="preserve">M. Nair (Civil)</t>
  </si>
  <si>
    <t xml:space="preserve">PMO</t>
  </si>
  <si>
    <t xml:space="preserve">Comments received from client - resubmission pending</t>
  </si>
  <si>
    <t xml:space="preserve">VSL-SLR-CIV-BOQ-0007</t>
  </si>
  <si>
    <t xml:space="preserve">Civil Works BOQ - Zone A &amp; B</t>
  </si>
  <si>
    <t xml:space="preserve">Bill of Quantities</t>
  </si>
  <si>
    <t xml:space="preserve">A. Sharma (Civil)</t>
  </si>
  <si>
    <t xml:space="preserve">Client Consultant</t>
  </si>
  <si>
    <t xml:space="preserve">TR-0003</t>
  </si>
  <si>
    <t xml:space="preserve">VSL-SLR-ELE-DRG-0008</t>
  </si>
  <si>
    <t xml:space="preserve">Plant Single Line Diagram (SLD)</t>
  </si>
  <si>
    <t xml:space="preserve">Electrical</t>
  </si>
  <si>
    <t xml:space="preserve">Single Line Diagram</t>
  </si>
  <si>
    <t xml:space="preserve">R. Iyer (Electrical)</t>
  </si>
  <si>
    <t xml:space="preserve">Project Head</t>
  </si>
  <si>
    <t xml:space="preserve">VSL-SLR-ELE-DRG-0009</t>
  </si>
  <si>
    <t xml:space="preserve">MV Cable Schedule - Zone A</t>
  </si>
  <si>
    <t xml:space="preserve">Cable Schedule</t>
  </si>
  <si>
    <t xml:space="preserve">N. Verma (Electrical)</t>
  </si>
  <si>
    <t xml:space="preserve">VSL-SLR-ELE-DRG-0010</t>
  </si>
  <si>
    <t xml:space="preserve">Earthing &amp; Lightning Protection Layout</t>
  </si>
  <si>
    <t xml:space="preserve">S. Khan (Electrical)</t>
  </si>
  <si>
    <t xml:space="preserve">TR-0004</t>
  </si>
  <si>
    <t xml:space="preserve">VSL-SLR-ELE-DRG-0011</t>
  </si>
  <si>
    <t xml:space="preserve">DC Cable Routing Layout</t>
  </si>
  <si>
    <t xml:space="preserve">P. Reddy (Electrical)</t>
  </si>
  <si>
    <t xml:space="preserve">VSL-SLR-ELE-DRG-0012</t>
  </si>
  <si>
    <t xml:space="preserve">Inverter Room Electrical Schematic</t>
  </si>
  <si>
    <t xml:space="preserve">Schematic</t>
  </si>
  <si>
    <t xml:space="preserve">D. Bose (Electrical)</t>
  </si>
  <si>
    <t xml:space="preserve">VSL-SLR-ELE-SPEC-0013</t>
  </si>
  <si>
    <t xml:space="preserve">33kV Switchgear Technical Specification</t>
  </si>
  <si>
    <t xml:space="preserve">Specification</t>
  </si>
  <si>
    <t xml:space="preserve">M. Nair (Electrical)</t>
  </si>
  <si>
    <t xml:space="preserve">TR-0005</t>
  </si>
  <si>
    <t xml:space="preserve">VSL-SLR-ELE-DRG-0014</t>
  </si>
  <si>
    <t xml:space="preserve">BESS Container SLD</t>
  </si>
  <si>
    <t xml:space="preserve">A. Sharma (Electrical)</t>
  </si>
  <si>
    <t xml:space="preserve">VSL-SLR-ELE-CALC-0015</t>
  </si>
  <si>
    <t xml:space="preserve">Voltage Drop &amp; Cable Sizing Calculation</t>
  </si>
  <si>
    <t xml:space="preserve">Design Calculation</t>
  </si>
  <si>
    <t xml:space="preserve">VSL-SLR-MEC-DRG-0016</t>
  </si>
  <si>
    <t xml:space="preserve">Module Mounting Structure - GA Drawing</t>
  </si>
  <si>
    <t xml:space="preserve">Mechanical</t>
  </si>
  <si>
    <t xml:space="preserve">GA Drawing</t>
  </si>
  <si>
    <t xml:space="preserve">N. Verma (Mechanical)</t>
  </si>
  <si>
    <t xml:space="preserve">TR-0006</t>
  </si>
  <si>
    <t xml:space="preserve">VSL-SLR-MEC-CALC-0017</t>
  </si>
  <si>
    <t xml:space="preserve">Wind Load &amp; Structural Calculation</t>
  </si>
  <si>
    <t xml:space="preserve">S. Khan (Mechanical)</t>
  </si>
  <si>
    <t xml:space="preserve">VSL-SLR-MEC-SPEC-0018</t>
  </si>
  <si>
    <t xml:space="preserve">Tracker Mounting Structure Specification</t>
  </si>
  <si>
    <t xml:space="preserve">P. Reddy (Mechanical)</t>
  </si>
  <si>
    <t xml:space="preserve">VSL-SLR-MEC-DRG-0019</t>
  </si>
  <si>
    <t xml:space="preserve">BESS HVAC &amp; Fire Suppression P&amp;ID</t>
  </si>
  <si>
    <t xml:space="preserve">P&amp;ID</t>
  </si>
  <si>
    <t xml:space="preserve">D. Bose (Mechanical)</t>
  </si>
  <si>
    <t xml:space="preserve">TR-0007</t>
  </si>
  <si>
    <t xml:space="preserve">VSL-SLR-INC-DRG-0020</t>
  </si>
  <si>
    <t xml:space="preserve">SCADA Network Architecture Diagram</t>
  </si>
  <si>
    <t xml:space="preserve">Instrumentation &amp; Control</t>
  </si>
  <si>
    <t xml:space="preserve">Architecture Diagram</t>
  </si>
  <si>
    <t xml:space="preserve">M. Nair (Instrumentation &amp; Control)</t>
  </si>
  <si>
    <t xml:space="preserve">VSL-SLR-INC-SPEC-0021</t>
  </si>
  <si>
    <t xml:space="preserve">Weather Station Instrumentation Spec</t>
  </si>
  <si>
    <t xml:space="preserve">A. Sharma (Instrumentation &amp; Control)</t>
  </si>
  <si>
    <t xml:space="preserve">VSL-SLR-INC-DRG-0022</t>
  </si>
  <si>
    <t xml:space="preserve">PLC I/O List - Inverter Station</t>
  </si>
  <si>
    <t xml:space="preserve">I/O List</t>
  </si>
  <si>
    <t xml:space="preserve">R. Iyer (Instrumentation &amp; Control)</t>
  </si>
  <si>
    <t xml:space="preserve">TR-0008</t>
  </si>
  <si>
    <t xml:space="preserve">VSL-SLR-HSE-PLN-0023</t>
  </si>
  <si>
    <t xml:space="preserve">Project HSE Management Plan</t>
  </si>
  <si>
    <t xml:space="preserve">HSE</t>
  </si>
  <si>
    <t xml:space="preserve">Plan</t>
  </si>
  <si>
    <t xml:space="preserve">N. Verma (HSE)</t>
  </si>
  <si>
    <t xml:space="preserve">VSL-SLR-HSE-PLN-0024</t>
  </si>
  <si>
    <t xml:space="preserve">Emergency Response &amp; Evacuation Plan</t>
  </si>
  <si>
    <t xml:space="preserve">S. Khan (HSE)</t>
  </si>
  <si>
    <t xml:space="preserve">VSL-SLR-HSE-PRC-0025</t>
  </si>
  <si>
    <t xml:space="preserve">Working at Height Procedure</t>
  </si>
  <si>
    <t xml:space="preserve">Procedure</t>
  </si>
  <si>
    <t xml:space="preserve">P. Reddy (HSE)</t>
  </si>
  <si>
    <t xml:space="preserve">TR-0009</t>
  </si>
  <si>
    <t xml:space="preserve">VSL-SLR-HSE-PRC-0026</t>
  </si>
  <si>
    <t xml:space="preserve">Lifting &amp; Rigging Safety Procedure</t>
  </si>
  <si>
    <t xml:space="preserve">D. Bose (HSE)</t>
  </si>
  <si>
    <t xml:space="preserve">VSL-SLR-QAC-PLN-0027</t>
  </si>
  <si>
    <t xml:space="preserve">Project Quality Assurance Plan</t>
  </si>
  <si>
    <t xml:space="preserve">QA/QC</t>
  </si>
  <si>
    <t xml:space="preserve">M. Nair (QA/QC)</t>
  </si>
  <si>
    <t xml:space="preserve">VSL-SLR-QAC-ITP-0028</t>
  </si>
  <si>
    <t xml:space="preserve">ITP - Module Mounting Structure</t>
  </si>
  <si>
    <t xml:space="preserve">Inspection Test Plan</t>
  </si>
  <si>
    <t xml:space="preserve">A. Sharma (QA/QC)</t>
  </si>
  <si>
    <t xml:space="preserve">TR-0010</t>
  </si>
  <si>
    <t xml:space="preserve">VSL-SLR-QAC-ITP-0029</t>
  </si>
  <si>
    <t xml:space="preserve">ITP - Cable Laying &amp; Termination</t>
  </si>
  <si>
    <t xml:space="preserve">R. Iyer (QA/QC)</t>
  </si>
  <si>
    <t xml:space="preserve">VSL-SLR-QAC-RPT-0030</t>
  </si>
  <si>
    <t xml:space="preserve">Factory Acceptance Test Report - Inverters</t>
  </si>
  <si>
    <t xml:space="preserve">N. Verma (QA/QC)</t>
  </si>
  <si>
    <t xml:space="preserve">VSL-SLR-PRO-BOQ-0031</t>
  </si>
  <si>
    <t xml:space="preserve">Procurement BOQ - Electrical Package</t>
  </si>
  <si>
    <t xml:space="preserve">Procurement</t>
  </si>
  <si>
    <t xml:space="preserve">S. Khan (Procurement)</t>
  </si>
  <si>
    <t xml:space="preserve">TR-0011</t>
  </si>
  <si>
    <t xml:space="preserve">VSL-SLR-PRO-SPEC-0032</t>
  </si>
  <si>
    <t xml:space="preserve">Module Supply Technical Specification</t>
  </si>
  <si>
    <t xml:space="preserve">P. Reddy (Procurement)</t>
  </si>
  <si>
    <t xml:space="preserve">VSL-SLR-PRO-SPEC-0033</t>
  </si>
  <si>
    <t xml:space="preserve">BESS Container Technical Specification</t>
  </si>
  <si>
    <t xml:space="preserve">D. Bose (Procurement)</t>
  </si>
  <si>
    <t xml:space="preserve">VSL-SLR-PMT-PLN-0034</t>
  </si>
  <si>
    <t xml:space="preserve">Project Execution Plan</t>
  </si>
  <si>
    <t xml:space="preserve">Project Management</t>
  </si>
  <si>
    <t xml:space="preserve">M. Nair (Project Management)</t>
  </si>
  <si>
    <t xml:space="preserve">TR-0012</t>
  </si>
  <si>
    <t xml:space="preserve">VSL-SLR-PMT-PLN-0035</t>
  </si>
  <si>
    <t xml:space="preserve">Project Schedule (Level 3)</t>
  </si>
  <si>
    <t xml:space="preserve">A. Sharma (Project Management)</t>
  </si>
  <si>
    <t xml:space="preserve">VSL-SLR-PMT-PRC-0036</t>
  </si>
  <si>
    <t xml:space="preserve">Document Control Procedure</t>
  </si>
  <si>
    <t xml:space="preserve">R. Iyer (Project Management)</t>
  </si>
  <si>
    <t xml:space="preserve">VSL-SLR-PMT-RPT-0037</t>
  </si>
  <si>
    <t xml:space="preserve">Monthly Progress Report - Template</t>
  </si>
  <si>
    <t xml:space="preserve">N. Verma (Project Management)</t>
  </si>
  <si>
    <t xml:space="preserve">TR-0013</t>
  </si>
  <si>
    <t xml:space="preserve">DOCUMENT STATUS DASHBOARD</t>
  </si>
  <si>
    <t xml:space="preserve">Live summary — pulls automatically from the MDR sheet</t>
  </si>
  <si>
    <t xml:space="preserve">Total Documents</t>
  </si>
  <si>
    <t xml:space="preserve">Approved (AFC/AB)</t>
  </si>
  <si>
    <t xml:space="preserve">Open for Review/Approval</t>
  </si>
  <si>
    <t xml:space="preserve">Overdue (past due date, not closed)</t>
  </si>
  <si>
    <t xml:space="preserve">Status Breakdown</t>
  </si>
  <si>
    <t xml:space="preserve">Status Code</t>
  </si>
  <si>
    <t xml:space="preserve">Meaning</t>
  </si>
  <si>
    <t xml:space="preserve">Count</t>
  </si>
  <si>
    <t xml:space="preserve">Issued for Review</t>
  </si>
  <si>
    <t xml:space="preserve">Issued for Approval</t>
  </si>
  <si>
    <t xml:space="preserve">Issued for Construction</t>
  </si>
  <si>
    <t xml:space="preserve">Approved for Construction</t>
  </si>
  <si>
    <t xml:space="preserve">As-Built</t>
  </si>
  <si>
    <t xml:space="preserve">Returned with Comments</t>
  </si>
  <si>
    <t xml:space="preserve">Documents by Discipline</t>
  </si>
  <si>
    <t xml:space="preserve">REVISION HISTORY — SAMPLE DOCUMENTS</t>
  </si>
  <si>
    <t xml:space="preserve">Detailed revision trail for 5 documents, showing how each revision was tracked from first issue to closeout</t>
  </si>
  <si>
    <t xml:space="preserve">Date</t>
  </si>
  <si>
    <t xml:space="preserve">Issued By</t>
  </si>
  <si>
    <t xml:space="preserve">Description of Change</t>
  </si>
  <si>
    <t xml:space="preserve">05-May-26</t>
  </si>
  <si>
    <t xml:space="preserve">R. Iyer</t>
  </si>
  <si>
    <t xml:space="preserve">First issue for internal review</t>
  </si>
  <si>
    <t xml:space="preserve">12-May-26</t>
  </si>
  <si>
    <t xml:space="preserve">Comments on transformer tap settings</t>
  </si>
  <si>
    <t xml:space="preserve">20-May-26</t>
  </si>
  <si>
    <t xml:space="preserve">Comments incorporated, sent for client approval</t>
  </si>
  <si>
    <t xml:space="preserve">02-Jun-26</t>
  </si>
  <si>
    <t xml:space="preserve">Approved by client, released for construction</t>
  </si>
  <si>
    <t xml:space="preserve">08-May-26</t>
  </si>
  <si>
    <t xml:space="preserve">A. Sharma</t>
  </si>
  <si>
    <t xml:space="preserve">First issue based on preliminary soil report</t>
  </si>
  <si>
    <t xml:space="preserve">15-May-26</t>
  </si>
  <si>
    <t xml:space="preserve">Revise pile depth per updated soil data</t>
  </si>
  <si>
    <t xml:space="preserve">28-May-26</t>
  </si>
  <si>
    <t xml:space="preserve">Finalized after soil report update, IFC released</t>
  </si>
  <si>
    <t xml:space="preserve">10-Aug-26</t>
  </si>
  <si>
    <t xml:space="preserve">Updated to reflect actual founded levels</t>
  </si>
  <si>
    <t xml:space="preserve">10-May-26</t>
  </si>
  <si>
    <t xml:space="preserve">N. Verma</t>
  </si>
  <si>
    <t xml:space="preserve">Initial structural GA for review</t>
  </si>
  <si>
    <t xml:space="preserve">24-May-26</t>
  </si>
  <si>
    <t xml:space="preserve">No comments received, released for construction</t>
  </si>
  <si>
    <t xml:space="preserve">15-Aug-26</t>
  </si>
  <si>
    <t xml:space="preserve">As-built markup after site installation</t>
  </si>
  <si>
    <t xml:space="preserve">18-May-26</t>
  </si>
  <si>
    <t xml:space="preserve">S. Khan</t>
  </si>
  <si>
    <t xml:space="preserve">First draft for IT/OT review</t>
  </si>
  <si>
    <t xml:space="preserve">25-May-26</t>
  </si>
  <si>
    <t xml:space="preserve">Add redundant fiber ring per cybersecurity review</t>
  </si>
  <si>
    <t xml:space="preserve">Redundancy added, sent for approval</t>
  </si>
  <si>
    <t xml:space="preserve">10-Jun-26</t>
  </si>
  <si>
    <t xml:space="preserve">Approved, released for construction</t>
  </si>
  <si>
    <t xml:space="preserve">VSL-SLR-PMT-PRC-0035</t>
  </si>
  <si>
    <t xml:space="preserve">01-May-26</t>
  </si>
  <si>
    <t xml:space="preserve">[Your Name]</t>
  </si>
  <si>
    <t xml:space="preserve">Initial draft of DC procedure for project</t>
  </si>
  <si>
    <t xml:space="preserve">14-May-26</t>
  </si>
  <si>
    <t xml:space="preserve">Approved and issued as project-wide procedure</t>
  </si>
  <si>
    <t xml:space="preserve">LEGEND &amp; DOCUMENT NUMBERING CONVENTION</t>
  </si>
  <si>
    <t xml:space="preserve">Numbering Format</t>
  </si>
  <si>
    <t xml:space="preserve">VSL-SLR-&lt;DISCIPLINE&gt;-&lt;DOC TYPE&gt;-&lt;SEQUENCE&gt;</t>
  </si>
  <si>
    <t xml:space="preserve">Example: VSL-SLR-ELE-DRG-0008 = VoltSun Labs, Solar project, Electrical discipline, Drawing, sequence 0008</t>
  </si>
  <si>
    <t xml:space="preserve">Segment</t>
  </si>
  <si>
    <t xml:space="preserve">VSL</t>
  </si>
  <si>
    <t xml:space="preserve">Project owner code — VoltSun Labs</t>
  </si>
  <si>
    <t xml:space="preserve">SLR</t>
  </si>
  <si>
    <t xml:space="preserve">Project/site code — Solar + BESS site</t>
  </si>
  <si>
    <t xml:space="preserve">3-letter discipline code (see table below)</t>
  </si>
  <si>
    <t xml:space="preserve">3-4 letter document type code (see table below)</t>
  </si>
  <si>
    <t xml:space="preserve">Sequence</t>
  </si>
  <si>
    <t xml:space="preserve">4-digit running number, unique per document</t>
  </si>
  <si>
    <t xml:space="preserve">Discipline Codes</t>
  </si>
  <si>
    <t xml:space="preserve">Code</t>
  </si>
  <si>
    <t xml:space="preserve">CIV</t>
  </si>
  <si>
    <t xml:space="preserve">ELE</t>
  </si>
  <si>
    <t xml:space="preserve">MEC</t>
  </si>
  <si>
    <t xml:space="preserve">INC</t>
  </si>
  <si>
    <t xml:space="preserve">QAC</t>
  </si>
  <si>
    <t xml:space="preserve">PRO</t>
  </si>
  <si>
    <t xml:space="preserve">PMT</t>
  </si>
  <si>
    <t xml:space="preserve">Status Codes</t>
  </si>
  <si>
    <t xml:space="preserve">Typical Next Step</t>
  </si>
  <si>
    <t xml:space="preserve">Internal / discipline lead review</t>
  </si>
  <si>
    <t xml:space="preserve">Sent to client/consultant for formal approval</t>
  </si>
  <si>
    <t xml:space="preserve">Released to site for execution</t>
  </si>
  <si>
    <t xml:space="preserve">Approved, no further comments expected</t>
  </si>
  <si>
    <t xml:space="preserve">Final closeout after construction/installation</t>
  </si>
  <si>
    <t xml:space="preserve">Requires revision and re-submission</t>
  </si>
  <si>
    <t xml:space="preserve">How to Use This Register</t>
  </si>
  <si>
    <t xml:space="preserve">1. Add a new row on the MDR sheet for every new document; follow the numbering convention above.</t>
  </si>
  <si>
    <t xml:space="preserve">2. Update the Status and Rev columns as the document moves through review/approval — a dropdown is enabled on the Status column.</t>
  </si>
  <si>
    <t xml:space="preserve">3. The Dashboard sheet recalculates automatically — no manual counting needed.</t>
  </si>
  <si>
    <t xml:space="preserve">4. Link every submission/approval action to a Transmittal Ref (see Project 2: Transmittal Log).</t>
  </si>
  <si>
    <t xml:space="preserve">5. Log major revision changes for key documents on the 'Revision History (Sample)' sheet.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</si>
</sst>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1F4E78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EDF2F9"/>
      </patternFill>
    </fill>
    <fill>
      <patternFill patternType="solid">
        <fgColor rgb="FFD9E1F2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9D2E9"/>
        <bgColor rgb="FFD9D9D9"/>
      </patternFill>
    </fill>
    <fill>
      <patternFill patternType="solid">
        <fgColor rgb="FFF8CBAD"/>
        <bgColor rgb="FFFCE4D6"/>
      </patternFill>
    </fill>
    <fill>
      <patternFill patternType="solid">
        <fgColor rgb="FFEDF2F9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EDF2F9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CE4D6"/>
      <rgbColor rgb="FFD9D9D9"/>
      <rgbColor rgb="FFFF99CC"/>
      <rgbColor rgb="FFCC99FF"/>
      <rgbColor rgb="FFF8CBAD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Documents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Dashboard!C10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Dashboard!$A$11:$A$16</c:f>
              <c:strCache>
                <c:ptCount val="6"/>
                <c:pt idx="0">
                  <c:v>IFR</c:v>
                </c:pt>
                <c:pt idx="1">
                  <c:v>IFA</c:v>
                </c:pt>
                <c:pt idx="2">
                  <c:v>IFC</c:v>
                </c:pt>
                <c:pt idx="3">
                  <c:v>AFC</c:v>
                </c:pt>
                <c:pt idx="4">
                  <c:v>AB</c:v>
                </c:pt>
                <c:pt idx="5">
                  <c:v>REJ</c:v>
                </c:pt>
              </c:strCache>
            </c:strRef>
          </c:cat>
          <c:val>
            <c:numRef>
              <c:f>Dashboard!$C$11:$C$16</c:f>
              <c:numCache>
                <c:formatCode>General</c:formatCode>
                <c:ptCount val="6"/>
                <c:pt idx="0">
                  <c:v>4</c:v>
                </c:pt>
                <c:pt idx="1">
                  <c:v>7</c:v>
                </c:pt>
                <c:pt idx="2">
                  <c:v>11</c:v>
                </c:pt>
                <c:pt idx="3">
                  <c:v>7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Documents by Discipline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Dashboard!$A$20:$A$27</c:f>
              <c:strCache>
                <c:ptCount val="8"/>
                <c:pt idx="0">
                  <c:v>Civil</c:v>
                </c:pt>
                <c:pt idx="1">
                  <c:v>Electrical</c:v>
                </c:pt>
                <c:pt idx="2">
                  <c:v>Mechanical</c:v>
                </c:pt>
                <c:pt idx="3">
                  <c:v>Instrumentation &amp; Control</c:v>
                </c:pt>
                <c:pt idx="4">
                  <c:v>HSE</c:v>
                </c:pt>
                <c:pt idx="5">
                  <c:v>QA/QC</c:v>
                </c:pt>
                <c:pt idx="6">
                  <c:v>Procurement</c:v>
                </c:pt>
                <c:pt idx="7">
                  <c:v>Project Management</c:v>
                </c:pt>
              </c:strCache>
            </c:strRef>
          </c:cat>
          <c:val>
            <c:numRef>
              <c:f>Dashboard!$B$20:$B$27</c:f>
              <c:numCache>
                <c:formatCode>General</c:formatCode>
                <c:ptCount val="8"/>
                <c:pt idx="0">
                  <c:v>7</c:v>
                </c:pt>
                <c:pt idx="1">
                  <c:v>8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</c:numCache>
            </c:numRef>
          </c:val>
        </c:ser>
        <c:gapWidth val="150"/>
        <c:overlap val="0"/>
        <c:axId val="91900544"/>
        <c:axId val="43183882"/>
      </c:barChart>
      <c:catAx>
        <c:axId val="9190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183882"/>
        <c:crosses val="autoZero"/>
        <c:auto val="1"/>
        <c:lblAlgn val="ctr"/>
        <c:lblOffset val="100"/>
        <c:noMultiLvlLbl val="0"/>
      </c:catAx>
      <c:valAx>
        <c:axId val="431838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9005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131040</xdr:rowOff>
    </xdr:from>
    <xdr:to>
      <xdr:col>11</xdr:col>
      <xdr:colOff>39240</xdr:colOff>
      <xdr:row>16</xdr:row>
      <xdr:rowOff>141840</xdr:rowOff>
    </xdr:to>
    <xdr:graphicFrame>
      <xdr:nvGraphicFramePr>
        <xdr:cNvPr id="0" name="Chart 1"/>
        <xdr:cNvGraphicFramePr/>
      </xdr:nvGraphicFramePr>
      <xdr:xfrm>
        <a:off x="5968440" y="5716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17</xdr:row>
      <xdr:rowOff>119160</xdr:rowOff>
    </xdr:from>
    <xdr:to>
      <xdr:col>13</xdr:col>
      <xdr:colOff>256320</xdr:colOff>
      <xdr:row>32</xdr:row>
      <xdr:rowOff>141480</xdr:rowOff>
    </xdr:to>
    <xdr:graphicFrame>
      <xdr:nvGraphicFramePr>
        <xdr:cNvPr id="1" name="Chart 2"/>
        <xdr:cNvGraphicFramePr/>
      </xdr:nvGraphicFramePr>
      <xdr:xfrm>
        <a:off x="5968440" y="3619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6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1" min="10" style="0" width="12"/>
    <col collapsed="false" customWidth="true" hidden="false" outlineLevel="0" max="12" min="12" style="0" width="14"/>
    <col collapsed="false" customWidth="true" hidden="false" outlineLevel="0" max="13" min="13" style="0" width="2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23.8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</row>
    <row r="6" customFormat="false" ht="23.85" hidden="false" customHeight="false" outlineLevel="0" collapsed="false">
      <c r="A6" s="4" t="n">
        <v>1</v>
      </c>
      <c r="B6" s="5" t="s">
        <v>16</v>
      </c>
      <c r="C6" s="5" t="s">
        <v>17</v>
      </c>
      <c r="D6" s="4" t="s">
        <v>18</v>
      </c>
      <c r="E6" s="4" t="s">
        <v>19</v>
      </c>
      <c r="F6" s="4" t="s">
        <v>20</v>
      </c>
      <c r="G6" s="6" t="s">
        <v>21</v>
      </c>
      <c r="H6" s="5" t="s">
        <v>22</v>
      </c>
      <c r="I6" s="5" t="s">
        <v>23</v>
      </c>
      <c r="J6" s="7" t="n">
        <v>46147</v>
      </c>
      <c r="K6" s="7" t="n">
        <v>46160</v>
      </c>
      <c r="L6" s="4" t="s">
        <v>24</v>
      </c>
      <c r="M6" s="5"/>
    </row>
    <row r="7" customFormat="false" ht="23.85" hidden="false" customHeight="false" outlineLevel="0" collapsed="false">
      <c r="A7" s="4" t="n">
        <v>2</v>
      </c>
      <c r="B7" s="5" t="s">
        <v>25</v>
      </c>
      <c r="C7" s="5" t="s">
        <v>26</v>
      </c>
      <c r="D7" s="4" t="s">
        <v>18</v>
      </c>
      <c r="E7" s="4" t="s">
        <v>19</v>
      </c>
      <c r="F7" s="4" t="s">
        <v>20</v>
      </c>
      <c r="G7" s="8" t="s">
        <v>27</v>
      </c>
      <c r="H7" s="5" t="s">
        <v>28</v>
      </c>
      <c r="I7" s="5" t="s">
        <v>29</v>
      </c>
      <c r="J7" s="7" t="n">
        <v>46151</v>
      </c>
      <c r="K7" s="7" t="n">
        <v>46167</v>
      </c>
      <c r="L7" s="4" t="s">
        <v>24</v>
      </c>
      <c r="M7" s="5"/>
    </row>
    <row r="8" customFormat="false" ht="23.85" hidden="false" customHeight="false" outlineLevel="0" collapsed="false">
      <c r="A8" s="4" t="n">
        <v>3</v>
      </c>
      <c r="B8" s="5" t="s">
        <v>30</v>
      </c>
      <c r="C8" s="5" t="s">
        <v>31</v>
      </c>
      <c r="D8" s="4" t="s">
        <v>18</v>
      </c>
      <c r="E8" s="4" t="s">
        <v>32</v>
      </c>
      <c r="F8" s="4" t="s">
        <v>33</v>
      </c>
      <c r="G8" s="9" t="s">
        <v>34</v>
      </c>
      <c r="H8" s="5" t="s">
        <v>35</v>
      </c>
      <c r="I8" s="5" t="s">
        <v>36</v>
      </c>
      <c r="J8" s="7" t="n">
        <v>46155</v>
      </c>
      <c r="K8" s="7" t="n">
        <v>46174</v>
      </c>
      <c r="L8" s="4" t="s">
        <v>24</v>
      </c>
      <c r="M8" s="5"/>
    </row>
    <row r="9" customFormat="false" ht="23.85" hidden="false" customHeight="false" outlineLevel="0" collapsed="false">
      <c r="A9" s="4" t="n">
        <v>4</v>
      </c>
      <c r="B9" s="5" t="s">
        <v>37</v>
      </c>
      <c r="C9" s="5" t="s">
        <v>38</v>
      </c>
      <c r="D9" s="4" t="s">
        <v>18</v>
      </c>
      <c r="E9" s="4" t="s">
        <v>32</v>
      </c>
      <c r="F9" s="4" t="s">
        <v>39</v>
      </c>
      <c r="G9" s="10" t="s">
        <v>40</v>
      </c>
      <c r="H9" s="5" t="s">
        <v>41</v>
      </c>
      <c r="I9" s="5" t="s">
        <v>42</v>
      </c>
      <c r="J9" s="7" t="n">
        <v>46159</v>
      </c>
      <c r="K9" s="7" t="n">
        <v>46181</v>
      </c>
      <c r="L9" s="4" t="s">
        <v>43</v>
      </c>
      <c r="M9" s="5" t="s">
        <v>44</v>
      </c>
    </row>
    <row r="10" customFormat="false" ht="23.85" hidden="false" customHeight="false" outlineLevel="0" collapsed="false">
      <c r="A10" s="4" t="n">
        <v>5</v>
      </c>
      <c r="B10" s="5" t="s">
        <v>45</v>
      </c>
      <c r="C10" s="5" t="s">
        <v>46</v>
      </c>
      <c r="D10" s="4" t="s">
        <v>18</v>
      </c>
      <c r="E10" s="4" t="s">
        <v>47</v>
      </c>
      <c r="F10" s="4" t="s">
        <v>48</v>
      </c>
      <c r="G10" s="11" t="s">
        <v>49</v>
      </c>
      <c r="H10" s="5" t="s">
        <v>50</v>
      </c>
      <c r="I10" s="5" t="s">
        <v>51</v>
      </c>
      <c r="J10" s="7" t="n">
        <v>46163</v>
      </c>
      <c r="K10" s="7" t="n">
        <v>46173</v>
      </c>
      <c r="L10" s="4" t="s">
        <v>43</v>
      </c>
      <c r="M10" s="5" t="s">
        <v>52</v>
      </c>
    </row>
    <row r="11" customFormat="false" ht="23.85" hidden="false" customHeight="false" outlineLevel="0" collapsed="false">
      <c r="A11" s="4" t="n">
        <v>6</v>
      </c>
      <c r="B11" s="5" t="s">
        <v>53</v>
      </c>
      <c r="C11" s="5" t="s">
        <v>54</v>
      </c>
      <c r="D11" s="4" t="s">
        <v>18</v>
      </c>
      <c r="E11" s="4" t="s">
        <v>55</v>
      </c>
      <c r="F11" s="4" t="s">
        <v>56</v>
      </c>
      <c r="G11" s="12" t="s">
        <v>57</v>
      </c>
      <c r="H11" s="5" t="s">
        <v>58</v>
      </c>
      <c r="I11" s="5" t="s">
        <v>59</v>
      </c>
      <c r="J11" s="7" t="n">
        <v>46167</v>
      </c>
      <c r="K11" s="7" t="n">
        <v>46180</v>
      </c>
      <c r="L11" s="4" t="s">
        <v>43</v>
      </c>
      <c r="M11" s="5" t="s">
        <v>60</v>
      </c>
    </row>
    <row r="12" customFormat="false" ht="23.85" hidden="false" customHeight="false" outlineLevel="0" collapsed="false">
      <c r="A12" s="4" t="n">
        <v>7</v>
      </c>
      <c r="B12" s="5" t="s">
        <v>61</v>
      </c>
      <c r="C12" s="5" t="s">
        <v>62</v>
      </c>
      <c r="D12" s="4" t="s">
        <v>18</v>
      </c>
      <c r="E12" s="4" t="s">
        <v>63</v>
      </c>
      <c r="F12" s="4" t="s">
        <v>20</v>
      </c>
      <c r="G12" s="8" t="s">
        <v>27</v>
      </c>
      <c r="H12" s="5" t="s">
        <v>64</v>
      </c>
      <c r="I12" s="5" t="s">
        <v>65</v>
      </c>
      <c r="J12" s="7" t="n">
        <v>46171</v>
      </c>
      <c r="K12" s="7" t="n">
        <v>46187</v>
      </c>
      <c r="L12" s="4" t="s">
        <v>66</v>
      </c>
      <c r="M12" s="5"/>
    </row>
    <row r="13" customFormat="false" ht="23.85" hidden="false" customHeight="false" outlineLevel="0" collapsed="false">
      <c r="A13" s="4" t="n">
        <v>8</v>
      </c>
      <c r="B13" s="5" t="s">
        <v>67</v>
      </c>
      <c r="C13" s="5" t="s">
        <v>68</v>
      </c>
      <c r="D13" s="4" t="s">
        <v>69</v>
      </c>
      <c r="E13" s="4" t="s">
        <v>70</v>
      </c>
      <c r="F13" s="4" t="s">
        <v>20</v>
      </c>
      <c r="G13" s="6" t="s">
        <v>21</v>
      </c>
      <c r="H13" s="5" t="s">
        <v>71</v>
      </c>
      <c r="I13" s="5" t="s">
        <v>72</v>
      </c>
      <c r="J13" s="7" t="n">
        <v>46175</v>
      </c>
      <c r="K13" s="7" t="n">
        <v>46194</v>
      </c>
      <c r="L13" s="4" t="s">
        <v>66</v>
      </c>
      <c r="M13" s="5"/>
    </row>
    <row r="14" customFormat="false" ht="23.85" hidden="false" customHeight="false" outlineLevel="0" collapsed="false">
      <c r="A14" s="4" t="n">
        <v>9</v>
      </c>
      <c r="B14" s="5" t="s">
        <v>73</v>
      </c>
      <c r="C14" s="5" t="s">
        <v>74</v>
      </c>
      <c r="D14" s="4" t="s">
        <v>69</v>
      </c>
      <c r="E14" s="4" t="s">
        <v>75</v>
      </c>
      <c r="F14" s="4" t="s">
        <v>33</v>
      </c>
      <c r="G14" s="9" t="s">
        <v>34</v>
      </c>
      <c r="H14" s="5" t="s">
        <v>76</v>
      </c>
      <c r="I14" s="5" t="s">
        <v>23</v>
      </c>
      <c r="J14" s="7" t="n">
        <v>46179</v>
      </c>
      <c r="K14" s="7" t="n">
        <v>46201</v>
      </c>
      <c r="L14" s="4" t="s">
        <v>66</v>
      </c>
      <c r="M14" s="5"/>
    </row>
    <row r="15" customFormat="false" ht="23.85" hidden="false" customHeight="false" outlineLevel="0" collapsed="false">
      <c r="A15" s="4" t="n">
        <v>10</v>
      </c>
      <c r="B15" s="5" t="s">
        <v>77</v>
      </c>
      <c r="C15" s="5" t="s">
        <v>78</v>
      </c>
      <c r="D15" s="4" t="s">
        <v>69</v>
      </c>
      <c r="E15" s="4" t="s">
        <v>19</v>
      </c>
      <c r="F15" s="4" t="s">
        <v>20</v>
      </c>
      <c r="G15" s="8" t="s">
        <v>27</v>
      </c>
      <c r="H15" s="5" t="s">
        <v>79</v>
      </c>
      <c r="I15" s="5" t="s">
        <v>29</v>
      </c>
      <c r="J15" s="7" t="n">
        <v>46183</v>
      </c>
      <c r="K15" s="7" t="n">
        <v>46193</v>
      </c>
      <c r="L15" s="4" t="s">
        <v>80</v>
      </c>
      <c r="M15" s="5"/>
    </row>
    <row r="16" customFormat="false" ht="23.85" hidden="false" customHeight="false" outlineLevel="0" collapsed="false">
      <c r="A16" s="4" t="n">
        <v>11</v>
      </c>
      <c r="B16" s="5" t="s">
        <v>81</v>
      </c>
      <c r="C16" s="5" t="s">
        <v>82</v>
      </c>
      <c r="D16" s="4" t="s">
        <v>69</v>
      </c>
      <c r="E16" s="4" t="s">
        <v>19</v>
      </c>
      <c r="F16" s="4" t="s">
        <v>20</v>
      </c>
      <c r="G16" s="6" t="s">
        <v>21</v>
      </c>
      <c r="H16" s="5" t="s">
        <v>83</v>
      </c>
      <c r="I16" s="5" t="s">
        <v>36</v>
      </c>
      <c r="J16" s="7" t="n">
        <v>46187</v>
      </c>
      <c r="K16" s="7" t="n">
        <v>46200</v>
      </c>
      <c r="L16" s="4" t="s">
        <v>80</v>
      </c>
      <c r="M16" s="5"/>
    </row>
    <row r="17" customFormat="false" ht="23.85" hidden="false" customHeight="false" outlineLevel="0" collapsed="false">
      <c r="A17" s="4" t="n">
        <v>12</v>
      </c>
      <c r="B17" s="5" t="s">
        <v>84</v>
      </c>
      <c r="C17" s="5" t="s">
        <v>85</v>
      </c>
      <c r="D17" s="4" t="s">
        <v>69</v>
      </c>
      <c r="E17" s="4" t="s">
        <v>86</v>
      </c>
      <c r="F17" s="4" t="s">
        <v>20</v>
      </c>
      <c r="G17" s="8" t="s">
        <v>27</v>
      </c>
      <c r="H17" s="5" t="s">
        <v>87</v>
      </c>
      <c r="I17" s="5" t="s">
        <v>42</v>
      </c>
      <c r="J17" s="7" t="n">
        <v>46191</v>
      </c>
      <c r="K17" s="7" t="n">
        <v>46207</v>
      </c>
      <c r="L17" s="4" t="s">
        <v>80</v>
      </c>
      <c r="M17" s="5"/>
    </row>
    <row r="18" customFormat="false" ht="23.85" hidden="false" customHeight="false" outlineLevel="0" collapsed="false">
      <c r="A18" s="4" t="n">
        <v>13</v>
      </c>
      <c r="B18" s="5" t="s">
        <v>88</v>
      </c>
      <c r="C18" s="5" t="s">
        <v>89</v>
      </c>
      <c r="D18" s="4" t="s">
        <v>69</v>
      </c>
      <c r="E18" s="4" t="s">
        <v>90</v>
      </c>
      <c r="F18" s="4" t="s">
        <v>33</v>
      </c>
      <c r="G18" s="9" t="s">
        <v>34</v>
      </c>
      <c r="H18" s="5" t="s">
        <v>91</v>
      </c>
      <c r="I18" s="5" t="s">
        <v>51</v>
      </c>
      <c r="J18" s="7" t="n">
        <v>46195</v>
      </c>
      <c r="K18" s="7" t="n">
        <v>46214</v>
      </c>
      <c r="L18" s="4" t="s">
        <v>92</v>
      </c>
      <c r="M18" s="5"/>
    </row>
    <row r="19" customFormat="false" ht="23.85" hidden="false" customHeight="false" outlineLevel="0" collapsed="false">
      <c r="A19" s="4" t="n">
        <v>14</v>
      </c>
      <c r="B19" s="5" t="s">
        <v>93</v>
      </c>
      <c r="C19" s="5" t="s">
        <v>94</v>
      </c>
      <c r="D19" s="4" t="s">
        <v>69</v>
      </c>
      <c r="E19" s="4" t="s">
        <v>70</v>
      </c>
      <c r="F19" s="4" t="s">
        <v>39</v>
      </c>
      <c r="G19" s="10" t="s">
        <v>40</v>
      </c>
      <c r="H19" s="5" t="s">
        <v>95</v>
      </c>
      <c r="I19" s="5" t="s">
        <v>59</v>
      </c>
      <c r="J19" s="7" t="n">
        <v>46199</v>
      </c>
      <c r="K19" s="7" t="n">
        <v>46221</v>
      </c>
      <c r="L19" s="4" t="s">
        <v>92</v>
      </c>
      <c r="M19" s="5" t="s">
        <v>44</v>
      </c>
    </row>
    <row r="20" customFormat="false" ht="23.85" hidden="false" customHeight="false" outlineLevel="0" collapsed="false">
      <c r="A20" s="4" t="n">
        <v>15</v>
      </c>
      <c r="B20" s="5" t="s">
        <v>96</v>
      </c>
      <c r="C20" s="5" t="s">
        <v>97</v>
      </c>
      <c r="D20" s="4" t="s">
        <v>69</v>
      </c>
      <c r="E20" s="4" t="s">
        <v>98</v>
      </c>
      <c r="F20" s="4" t="s">
        <v>48</v>
      </c>
      <c r="G20" s="11" t="s">
        <v>49</v>
      </c>
      <c r="H20" s="5" t="s">
        <v>71</v>
      </c>
      <c r="I20" s="5" t="s">
        <v>65</v>
      </c>
      <c r="J20" s="7" t="n">
        <v>46203</v>
      </c>
      <c r="K20" s="7" t="n">
        <v>46213</v>
      </c>
      <c r="L20" s="4" t="s">
        <v>92</v>
      </c>
      <c r="M20" s="5" t="s">
        <v>52</v>
      </c>
    </row>
    <row r="21" customFormat="false" ht="23.85" hidden="false" customHeight="false" outlineLevel="0" collapsed="false">
      <c r="A21" s="4" t="n">
        <v>16</v>
      </c>
      <c r="B21" s="5" t="s">
        <v>99</v>
      </c>
      <c r="C21" s="5" t="s">
        <v>100</v>
      </c>
      <c r="D21" s="4" t="s">
        <v>101</v>
      </c>
      <c r="E21" s="4" t="s">
        <v>102</v>
      </c>
      <c r="F21" s="4" t="s">
        <v>56</v>
      </c>
      <c r="G21" s="12" t="s">
        <v>57</v>
      </c>
      <c r="H21" s="5" t="s">
        <v>103</v>
      </c>
      <c r="I21" s="5" t="s">
        <v>72</v>
      </c>
      <c r="J21" s="7" t="n">
        <v>46207</v>
      </c>
      <c r="K21" s="7" t="n">
        <v>46220</v>
      </c>
      <c r="L21" s="4" t="s">
        <v>104</v>
      </c>
      <c r="M21" s="5" t="s">
        <v>60</v>
      </c>
    </row>
    <row r="22" customFormat="false" ht="23.85" hidden="false" customHeight="false" outlineLevel="0" collapsed="false">
      <c r="A22" s="4" t="n">
        <v>17</v>
      </c>
      <c r="B22" s="5" t="s">
        <v>105</v>
      </c>
      <c r="C22" s="5" t="s">
        <v>106</v>
      </c>
      <c r="D22" s="4" t="s">
        <v>101</v>
      </c>
      <c r="E22" s="4" t="s">
        <v>98</v>
      </c>
      <c r="F22" s="4" t="s">
        <v>20</v>
      </c>
      <c r="G22" s="8" t="s">
        <v>27</v>
      </c>
      <c r="H22" s="5" t="s">
        <v>107</v>
      </c>
      <c r="I22" s="5" t="s">
        <v>23</v>
      </c>
      <c r="J22" s="7" t="n">
        <v>46211</v>
      </c>
      <c r="K22" s="7" t="n">
        <v>46227</v>
      </c>
      <c r="L22" s="4" t="s">
        <v>104</v>
      </c>
      <c r="M22" s="5"/>
    </row>
    <row r="23" customFormat="false" ht="23.85" hidden="false" customHeight="false" outlineLevel="0" collapsed="false">
      <c r="A23" s="4" t="n">
        <v>18</v>
      </c>
      <c r="B23" s="5" t="s">
        <v>108</v>
      </c>
      <c r="C23" s="5" t="s">
        <v>109</v>
      </c>
      <c r="D23" s="4" t="s">
        <v>101</v>
      </c>
      <c r="E23" s="4" t="s">
        <v>90</v>
      </c>
      <c r="F23" s="4" t="s">
        <v>20</v>
      </c>
      <c r="G23" s="6" t="s">
        <v>21</v>
      </c>
      <c r="H23" s="5" t="s">
        <v>110</v>
      </c>
      <c r="I23" s="5" t="s">
        <v>29</v>
      </c>
      <c r="J23" s="7" t="n">
        <v>46215</v>
      </c>
      <c r="K23" s="7" t="n">
        <v>46234</v>
      </c>
      <c r="L23" s="4" t="s">
        <v>104</v>
      </c>
      <c r="M23" s="5"/>
    </row>
    <row r="24" customFormat="false" ht="23.85" hidden="false" customHeight="false" outlineLevel="0" collapsed="false">
      <c r="A24" s="4" t="n">
        <v>19</v>
      </c>
      <c r="B24" s="5" t="s">
        <v>111</v>
      </c>
      <c r="C24" s="5" t="s">
        <v>112</v>
      </c>
      <c r="D24" s="4" t="s">
        <v>101</v>
      </c>
      <c r="E24" s="4" t="s">
        <v>113</v>
      </c>
      <c r="F24" s="4" t="s">
        <v>33</v>
      </c>
      <c r="G24" s="9" t="s">
        <v>34</v>
      </c>
      <c r="H24" s="5" t="s">
        <v>114</v>
      </c>
      <c r="I24" s="5" t="s">
        <v>36</v>
      </c>
      <c r="J24" s="7" t="n">
        <v>46219</v>
      </c>
      <c r="K24" s="7" t="n">
        <v>46241</v>
      </c>
      <c r="L24" s="4" t="s">
        <v>115</v>
      </c>
      <c r="M24" s="5"/>
    </row>
    <row r="25" customFormat="false" ht="35.05" hidden="false" customHeight="false" outlineLevel="0" collapsed="false">
      <c r="A25" s="4" t="n">
        <v>20</v>
      </c>
      <c r="B25" s="5" t="s">
        <v>116</v>
      </c>
      <c r="C25" s="5" t="s">
        <v>117</v>
      </c>
      <c r="D25" s="4" t="s">
        <v>118</v>
      </c>
      <c r="E25" s="4" t="s">
        <v>119</v>
      </c>
      <c r="F25" s="4" t="s">
        <v>20</v>
      </c>
      <c r="G25" s="8" t="s">
        <v>27</v>
      </c>
      <c r="H25" s="5" t="s">
        <v>120</v>
      </c>
      <c r="I25" s="5" t="s">
        <v>42</v>
      </c>
      <c r="J25" s="7" t="n">
        <v>46223</v>
      </c>
      <c r="K25" s="7" t="n">
        <v>46233</v>
      </c>
      <c r="L25" s="4" t="s">
        <v>115</v>
      </c>
      <c r="M25" s="5"/>
    </row>
    <row r="26" customFormat="false" ht="35.05" hidden="false" customHeight="false" outlineLevel="0" collapsed="false">
      <c r="A26" s="4" t="n">
        <v>21</v>
      </c>
      <c r="B26" s="5" t="s">
        <v>121</v>
      </c>
      <c r="C26" s="5" t="s">
        <v>122</v>
      </c>
      <c r="D26" s="4" t="s">
        <v>118</v>
      </c>
      <c r="E26" s="4" t="s">
        <v>90</v>
      </c>
      <c r="F26" s="4" t="s">
        <v>20</v>
      </c>
      <c r="G26" s="6" t="s">
        <v>21</v>
      </c>
      <c r="H26" s="5" t="s">
        <v>123</v>
      </c>
      <c r="I26" s="5" t="s">
        <v>51</v>
      </c>
      <c r="J26" s="7" t="n">
        <v>46227</v>
      </c>
      <c r="K26" s="7" t="n">
        <v>46240</v>
      </c>
      <c r="L26" s="4" t="s">
        <v>115</v>
      </c>
      <c r="M26" s="5"/>
    </row>
    <row r="27" customFormat="false" ht="35.05" hidden="false" customHeight="false" outlineLevel="0" collapsed="false">
      <c r="A27" s="4" t="n">
        <v>22</v>
      </c>
      <c r="B27" s="5" t="s">
        <v>124</v>
      </c>
      <c r="C27" s="5" t="s">
        <v>125</v>
      </c>
      <c r="D27" s="4" t="s">
        <v>118</v>
      </c>
      <c r="E27" s="4" t="s">
        <v>126</v>
      </c>
      <c r="F27" s="4" t="s">
        <v>20</v>
      </c>
      <c r="G27" s="8" t="s">
        <v>27</v>
      </c>
      <c r="H27" s="5" t="s">
        <v>127</v>
      </c>
      <c r="I27" s="5" t="s">
        <v>59</v>
      </c>
      <c r="J27" s="7" t="n">
        <v>46231</v>
      </c>
      <c r="K27" s="7" t="n">
        <v>46247</v>
      </c>
      <c r="L27" s="4" t="s">
        <v>128</v>
      </c>
      <c r="M27" s="5"/>
    </row>
    <row r="28" customFormat="false" ht="23.85" hidden="false" customHeight="false" outlineLevel="0" collapsed="false">
      <c r="A28" s="4" t="n">
        <v>23</v>
      </c>
      <c r="B28" s="5" t="s">
        <v>129</v>
      </c>
      <c r="C28" s="5" t="s">
        <v>130</v>
      </c>
      <c r="D28" s="4" t="s">
        <v>131</v>
      </c>
      <c r="E28" s="4" t="s">
        <v>132</v>
      </c>
      <c r="F28" s="4" t="s">
        <v>33</v>
      </c>
      <c r="G28" s="9" t="s">
        <v>34</v>
      </c>
      <c r="H28" s="5" t="s">
        <v>133</v>
      </c>
      <c r="I28" s="5" t="s">
        <v>65</v>
      </c>
      <c r="J28" s="7" t="n">
        <v>46145</v>
      </c>
      <c r="K28" s="7" t="n">
        <v>46164</v>
      </c>
      <c r="L28" s="4" t="s">
        <v>128</v>
      </c>
      <c r="M28" s="5"/>
    </row>
    <row r="29" customFormat="false" ht="23.85" hidden="false" customHeight="false" outlineLevel="0" collapsed="false">
      <c r="A29" s="4" t="n">
        <v>24</v>
      </c>
      <c r="B29" s="5" t="s">
        <v>134</v>
      </c>
      <c r="C29" s="5" t="s">
        <v>135</v>
      </c>
      <c r="D29" s="4" t="s">
        <v>131</v>
      </c>
      <c r="E29" s="4" t="s">
        <v>132</v>
      </c>
      <c r="F29" s="4" t="s">
        <v>39</v>
      </c>
      <c r="G29" s="10" t="s">
        <v>40</v>
      </c>
      <c r="H29" s="5" t="s">
        <v>136</v>
      </c>
      <c r="I29" s="5" t="s">
        <v>72</v>
      </c>
      <c r="J29" s="7" t="n">
        <v>46149</v>
      </c>
      <c r="K29" s="7" t="n">
        <v>46171</v>
      </c>
      <c r="L29" s="4" t="s">
        <v>128</v>
      </c>
      <c r="M29" s="5" t="s">
        <v>44</v>
      </c>
    </row>
    <row r="30" customFormat="false" ht="23.85" hidden="false" customHeight="false" outlineLevel="0" collapsed="false">
      <c r="A30" s="4" t="n">
        <v>25</v>
      </c>
      <c r="B30" s="5" t="s">
        <v>137</v>
      </c>
      <c r="C30" s="5" t="s">
        <v>138</v>
      </c>
      <c r="D30" s="4" t="s">
        <v>131</v>
      </c>
      <c r="E30" s="4" t="s">
        <v>139</v>
      </c>
      <c r="F30" s="4" t="s">
        <v>48</v>
      </c>
      <c r="G30" s="11" t="s">
        <v>49</v>
      </c>
      <c r="H30" s="5" t="s">
        <v>140</v>
      </c>
      <c r="I30" s="5" t="s">
        <v>23</v>
      </c>
      <c r="J30" s="7" t="n">
        <v>46153</v>
      </c>
      <c r="K30" s="7" t="n">
        <v>46163</v>
      </c>
      <c r="L30" s="4" t="s">
        <v>141</v>
      </c>
      <c r="M30" s="5" t="s">
        <v>52</v>
      </c>
    </row>
    <row r="31" customFormat="false" ht="23.85" hidden="false" customHeight="false" outlineLevel="0" collapsed="false">
      <c r="A31" s="4" t="n">
        <v>26</v>
      </c>
      <c r="B31" s="5" t="s">
        <v>142</v>
      </c>
      <c r="C31" s="5" t="s">
        <v>143</v>
      </c>
      <c r="D31" s="4" t="s">
        <v>131</v>
      </c>
      <c r="E31" s="4" t="s">
        <v>139</v>
      </c>
      <c r="F31" s="4" t="s">
        <v>56</v>
      </c>
      <c r="G31" s="12" t="s">
        <v>57</v>
      </c>
      <c r="H31" s="5" t="s">
        <v>144</v>
      </c>
      <c r="I31" s="5" t="s">
        <v>29</v>
      </c>
      <c r="J31" s="7" t="n">
        <v>46157</v>
      </c>
      <c r="K31" s="7" t="n">
        <v>46170</v>
      </c>
      <c r="L31" s="4" t="s">
        <v>141</v>
      </c>
      <c r="M31" s="5" t="s">
        <v>60</v>
      </c>
    </row>
    <row r="32" customFormat="false" ht="23.85" hidden="false" customHeight="false" outlineLevel="0" collapsed="false">
      <c r="A32" s="4" t="n">
        <v>27</v>
      </c>
      <c r="B32" s="5" t="s">
        <v>145</v>
      </c>
      <c r="C32" s="5" t="s">
        <v>146</v>
      </c>
      <c r="D32" s="4" t="s">
        <v>147</v>
      </c>
      <c r="E32" s="4" t="s">
        <v>132</v>
      </c>
      <c r="F32" s="4" t="s">
        <v>20</v>
      </c>
      <c r="G32" s="8" t="s">
        <v>27</v>
      </c>
      <c r="H32" s="5" t="s">
        <v>148</v>
      </c>
      <c r="I32" s="5" t="s">
        <v>36</v>
      </c>
      <c r="J32" s="7" t="n">
        <v>46161</v>
      </c>
      <c r="K32" s="7" t="n">
        <v>46177</v>
      </c>
      <c r="L32" s="4" t="s">
        <v>141</v>
      </c>
      <c r="M32" s="5"/>
    </row>
    <row r="33" customFormat="false" ht="23.85" hidden="false" customHeight="false" outlineLevel="0" collapsed="false">
      <c r="A33" s="4" t="n">
        <v>28</v>
      </c>
      <c r="B33" s="5" t="s">
        <v>149</v>
      </c>
      <c r="C33" s="5" t="s">
        <v>150</v>
      </c>
      <c r="D33" s="4" t="s">
        <v>147</v>
      </c>
      <c r="E33" s="4" t="s">
        <v>151</v>
      </c>
      <c r="F33" s="4" t="s">
        <v>20</v>
      </c>
      <c r="G33" s="6" t="s">
        <v>21</v>
      </c>
      <c r="H33" s="5" t="s">
        <v>152</v>
      </c>
      <c r="I33" s="5" t="s">
        <v>42</v>
      </c>
      <c r="J33" s="7" t="n">
        <v>46165</v>
      </c>
      <c r="K33" s="7" t="n">
        <v>46184</v>
      </c>
      <c r="L33" s="4" t="s">
        <v>153</v>
      </c>
      <c r="M33" s="5"/>
    </row>
    <row r="34" customFormat="false" ht="23.85" hidden="false" customHeight="false" outlineLevel="0" collapsed="false">
      <c r="A34" s="4" t="n">
        <v>29</v>
      </c>
      <c r="B34" s="5" t="s">
        <v>154</v>
      </c>
      <c r="C34" s="5" t="s">
        <v>155</v>
      </c>
      <c r="D34" s="4" t="s">
        <v>147</v>
      </c>
      <c r="E34" s="4" t="s">
        <v>151</v>
      </c>
      <c r="F34" s="4" t="s">
        <v>33</v>
      </c>
      <c r="G34" s="9" t="s">
        <v>34</v>
      </c>
      <c r="H34" s="5" t="s">
        <v>156</v>
      </c>
      <c r="I34" s="5" t="s">
        <v>51</v>
      </c>
      <c r="J34" s="7" t="n">
        <v>46169</v>
      </c>
      <c r="K34" s="7" t="n">
        <v>46191</v>
      </c>
      <c r="L34" s="4" t="s">
        <v>153</v>
      </c>
      <c r="M34" s="5"/>
    </row>
    <row r="35" customFormat="false" ht="23.85" hidden="false" customHeight="false" outlineLevel="0" collapsed="false">
      <c r="A35" s="4" t="n">
        <v>30</v>
      </c>
      <c r="B35" s="5" t="s">
        <v>157</v>
      </c>
      <c r="C35" s="5" t="s">
        <v>158</v>
      </c>
      <c r="D35" s="4" t="s">
        <v>147</v>
      </c>
      <c r="E35" s="4" t="s">
        <v>47</v>
      </c>
      <c r="F35" s="4" t="s">
        <v>20</v>
      </c>
      <c r="G35" s="8" t="s">
        <v>27</v>
      </c>
      <c r="H35" s="5" t="s">
        <v>159</v>
      </c>
      <c r="I35" s="5" t="s">
        <v>59</v>
      </c>
      <c r="J35" s="7" t="n">
        <v>46173</v>
      </c>
      <c r="K35" s="7" t="n">
        <v>46183</v>
      </c>
      <c r="L35" s="4" t="s">
        <v>153</v>
      </c>
      <c r="M35" s="5"/>
    </row>
    <row r="36" customFormat="false" ht="23.85" hidden="false" customHeight="false" outlineLevel="0" collapsed="false">
      <c r="A36" s="4" t="n">
        <v>31</v>
      </c>
      <c r="B36" s="5" t="s">
        <v>160</v>
      </c>
      <c r="C36" s="5" t="s">
        <v>161</v>
      </c>
      <c r="D36" s="4" t="s">
        <v>162</v>
      </c>
      <c r="E36" s="4" t="s">
        <v>63</v>
      </c>
      <c r="F36" s="4" t="s">
        <v>20</v>
      </c>
      <c r="G36" s="6" t="s">
        <v>21</v>
      </c>
      <c r="H36" s="5" t="s">
        <v>163</v>
      </c>
      <c r="I36" s="5" t="s">
        <v>65</v>
      </c>
      <c r="J36" s="7" t="n">
        <v>46177</v>
      </c>
      <c r="K36" s="7" t="n">
        <v>46190</v>
      </c>
      <c r="L36" s="4" t="s">
        <v>164</v>
      </c>
      <c r="M36" s="5"/>
    </row>
    <row r="37" customFormat="false" ht="23.85" hidden="false" customHeight="false" outlineLevel="0" collapsed="false">
      <c r="A37" s="4" t="n">
        <v>32</v>
      </c>
      <c r="B37" s="5" t="s">
        <v>165</v>
      </c>
      <c r="C37" s="5" t="s">
        <v>166</v>
      </c>
      <c r="D37" s="4" t="s">
        <v>162</v>
      </c>
      <c r="E37" s="4" t="s">
        <v>90</v>
      </c>
      <c r="F37" s="4" t="s">
        <v>20</v>
      </c>
      <c r="G37" s="8" t="s">
        <v>27</v>
      </c>
      <c r="H37" s="5" t="s">
        <v>167</v>
      </c>
      <c r="I37" s="5" t="s">
        <v>72</v>
      </c>
      <c r="J37" s="7" t="n">
        <v>46181</v>
      </c>
      <c r="K37" s="7" t="n">
        <v>46197</v>
      </c>
      <c r="L37" s="4" t="s">
        <v>164</v>
      </c>
      <c r="M37" s="5"/>
    </row>
    <row r="38" customFormat="false" ht="23.85" hidden="false" customHeight="false" outlineLevel="0" collapsed="false">
      <c r="A38" s="4" t="n">
        <v>33</v>
      </c>
      <c r="B38" s="5" t="s">
        <v>168</v>
      </c>
      <c r="C38" s="5" t="s">
        <v>169</v>
      </c>
      <c r="D38" s="4" t="s">
        <v>162</v>
      </c>
      <c r="E38" s="4" t="s">
        <v>90</v>
      </c>
      <c r="F38" s="4" t="s">
        <v>33</v>
      </c>
      <c r="G38" s="9" t="s">
        <v>34</v>
      </c>
      <c r="H38" s="5" t="s">
        <v>170</v>
      </c>
      <c r="I38" s="5" t="s">
        <v>23</v>
      </c>
      <c r="J38" s="7" t="n">
        <v>46185</v>
      </c>
      <c r="K38" s="7" t="n">
        <v>46204</v>
      </c>
      <c r="L38" s="4" t="s">
        <v>164</v>
      </c>
      <c r="M38" s="5"/>
    </row>
    <row r="39" customFormat="false" ht="23.85" hidden="false" customHeight="false" outlineLevel="0" collapsed="false">
      <c r="A39" s="4" t="n">
        <v>34</v>
      </c>
      <c r="B39" s="5" t="s">
        <v>171</v>
      </c>
      <c r="C39" s="5" t="s">
        <v>172</v>
      </c>
      <c r="D39" s="4" t="s">
        <v>173</v>
      </c>
      <c r="E39" s="4" t="s">
        <v>132</v>
      </c>
      <c r="F39" s="4" t="s">
        <v>39</v>
      </c>
      <c r="G39" s="10" t="s">
        <v>40</v>
      </c>
      <c r="H39" s="5" t="s">
        <v>174</v>
      </c>
      <c r="I39" s="5" t="s">
        <v>29</v>
      </c>
      <c r="J39" s="7" t="n">
        <v>46189</v>
      </c>
      <c r="K39" s="7" t="n">
        <v>46211</v>
      </c>
      <c r="L39" s="4" t="s">
        <v>175</v>
      </c>
      <c r="M39" s="5" t="s">
        <v>44</v>
      </c>
    </row>
    <row r="40" customFormat="false" ht="35.05" hidden="false" customHeight="false" outlineLevel="0" collapsed="false">
      <c r="A40" s="4" t="n">
        <v>35</v>
      </c>
      <c r="B40" s="5" t="s">
        <v>176</v>
      </c>
      <c r="C40" s="5" t="s">
        <v>177</v>
      </c>
      <c r="D40" s="4" t="s">
        <v>173</v>
      </c>
      <c r="E40" s="4" t="s">
        <v>132</v>
      </c>
      <c r="F40" s="4" t="s">
        <v>48</v>
      </c>
      <c r="G40" s="11" t="s">
        <v>49</v>
      </c>
      <c r="H40" s="5" t="s">
        <v>178</v>
      </c>
      <c r="I40" s="5" t="s">
        <v>36</v>
      </c>
      <c r="J40" s="7" t="n">
        <v>46193</v>
      </c>
      <c r="K40" s="7" t="n">
        <v>46203</v>
      </c>
      <c r="L40" s="4" t="s">
        <v>175</v>
      </c>
      <c r="M40" s="5" t="s">
        <v>52</v>
      </c>
    </row>
    <row r="41" customFormat="false" ht="23.85" hidden="false" customHeight="false" outlineLevel="0" collapsed="false">
      <c r="A41" s="4" t="n">
        <v>36</v>
      </c>
      <c r="B41" s="5" t="s">
        <v>179</v>
      </c>
      <c r="C41" s="5" t="s">
        <v>180</v>
      </c>
      <c r="D41" s="4" t="s">
        <v>173</v>
      </c>
      <c r="E41" s="4" t="s">
        <v>139</v>
      </c>
      <c r="F41" s="4" t="s">
        <v>56</v>
      </c>
      <c r="G41" s="12" t="s">
        <v>57</v>
      </c>
      <c r="H41" s="5" t="s">
        <v>181</v>
      </c>
      <c r="I41" s="5" t="s">
        <v>42</v>
      </c>
      <c r="J41" s="7" t="n">
        <v>46197</v>
      </c>
      <c r="K41" s="7" t="n">
        <v>46210</v>
      </c>
      <c r="L41" s="4" t="s">
        <v>175</v>
      </c>
      <c r="M41" s="5" t="s">
        <v>60</v>
      </c>
    </row>
    <row r="42" customFormat="false" ht="35.05" hidden="false" customHeight="false" outlineLevel="0" collapsed="false">
      <c r="A42" s="4" t="n">
        <v>37</v>
      </c>
      <c r="B42" s="5" t="s">
        <v>182</v>
      </c>
      <c r="C42" s="5" t="s">
        <v>183</v>
      </c>
      <c r="D42" s="4" t="s">
        <v>173</v>
      </c>
      <c r="E42" s="4" t="s">
        <v>47</v>
      </c>
      <c r="F42" s="4" t="s">
        <v>20</v>
      </c>
      <c r="G42" s="8" t="s">
        <v>27</v>
      </c>
      <c r="H42" s="5" t="s">
        <v>184</v>
      </c>
      <c r="I42" s="5" t="s">
        <v>51</v>
      </c>
      <c r="J42" s="7" t="n">
        <v>46201</v>
      </c>
      <c r="K42" s="7" t="n">
        <v>46217</v>
      </c>
      <c r="L42" s="4" t="s">
        <v>185</v>
      </c>
      <c r="M42" s="5"/>
    </row>
  </sheetData>
  <autoFilter ref="A5:M42"/>
  <mergeCells count="3">
    <mergeCell ref="A1:M1"/>
    <mergeCell ref="A2:M2"/>
    <mergeCell ref="A3:M3"/>
  </mergeCells>
  <dataValidations count="1">
    <dataValidation allowBlank="true" errorStyle="stop" operator="between" showDropDown="false" showErrorMessage="false" showInputMessage="false" sqref="G6:G92" type="list">
      <formula1>"IFR,IFA,IFC,AFC,AB,REJ"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16"/>
  </cols>
  <sheetData>
    <row r="1" customFormat="false" ht="19.7" hidden="false" customHeight="false" outlineLevel="0" collapsed="false">
      <c r="A1" s="13" t="s">
        <v>186</v>
      </c>
      <c r="B1" s="13"/>
      <c r="C1" s="13"/>
      <c r="D1" s="13"/>
      <c r="E1" s="13"/>
      <c r="F1" s="13"/>
    </row>
    <row r="2" customFormat="false" ht="15" hidden="false" customHeight="false" outlineLevel="0" collapsed="false">
      <c r="A2" s="2" t="s">
        <v>187</v>
      </c>
      <c r="B2" s="2"/>
      <c r="C2" s="2"/>
      <c r="D2" s="2"/>
      <c r="E2" s="2"/>
      <c r="F2" s="2"/>
    </row>
    <row r="4" customFormat="false" ht="17.35" hidden="false" customHeight="false" outlineLevel="0" collapsed="false">
      <c r="A4" s="14" t="s">
        <v>188</v>
      </c>
      <c r="B4" s="15"/>
      <c r="C4" s="16" t="n">
        <f aca="false">COUNTA(MDR!B6:B1000)</f>
        <v>37</v>
      </c>
    </row>
    <row r="5" customFormat="false" ht="17.35" hidden="false" customHeight="false" outlineLevel="0" collapsed="false">
      <c r="A5" s="14" t="s">
        <v>189</v>
      </c>
      <c r="B5" s="15"/>
      <c r="C5" s="16" t="n">
        <f aca="false">COUNTIF(MDR!G6:G1000,"AFC")+COUNTIF(MDR!G6:G1000,"AB")</f>
        <v>11</v>
      </c>
    </row>
    <row r="6" customFormat="false" ht="17.35" hidden="false" customHeight="false" outlineLevel="0" collapsed="false">
      <c r="A6" s="14" t="s">
        <v>190</v>
      </c>
      <c r="B6" s="15"/>
      <c r="C6" s="16" t="n">
        <f aca="false">COUNTIF(MDR!G6:G1000,"IFR")+COUNTIF(MDR!G6:G1000,"IFA")</f>
        <v>11</v>
      </c>
    </row>
    <row r="7" customFormat="false" ht="23.85" hidden="false" customHeight="false" outlineLevel="0" collapsed="false">
      <c r="A7" s="14" t="s">
        <v>191</v>
      </c>
      <c r="B7" s="15"/>
      <c r="C7" s="16" t="n">
        <f aca="true">SUMPRODUCT((MDR!K6:K1000&lt;TODAY())*(MDR!K6:K1000&lt;&gt;"")*(MDR!G6:G1000&lt;&gt;"AFC")*(MDR!G6:G1000&lt;&gt;"AB"))</f>
        <v>26</v>
      </c>
    </row>
    <row r="9" customFormat="false" ht="15" hidden="false" customHeight="false" outlineLevel="0" collapsed="false">
      <c r="A9" s="17" t="s">
        <v>192</v>
      </c>
    </row>
    <row r="10" customFormat="false" ht="15" hidden="false" customHeight="false" outlineLevel="0" collapsed="false">
      <c r="A10" s="3" t="s">
        <v>193</v>
      </c>
      <c r="B10" s="3" t="s">
        <v>194</v>
      </c>
      <c r="C10" s="3" t="s">
        <v>195</v>
      </c>
    </row>
    <row r="11" customFormat="false" ht="15" hidden="false" customHeight="false" outlineLevel="0" collapsed="false">
      <c r="A11" s="4" t="s">
        <v>40</v>
      </c>
      <c r="B11" s="5" t="s">
        <v>196</v>
      </c>
      <c r="C11" s="4" t="n">
        <f aca="false">COUNTIF(MDR!G6:G1000,"IFR")</f>
        <v>4</v>
      </c>
    </row>
    <row r="12" customFormat="false" ht="15" hidden="false" customHeight="false" outlineLevel="0" collapsed="false">
      <c r="A12" s="4" t="s">
        <v>34</v>
      </c>
      <c r="B12" s="5" t="s">
        <v>197</v>
      </c>
      <c r="C12" s="4" t="n">
        <f aca="false">COUNTIF(MDR!G6:G1000,"IFA")</f>
        <v>7</v>
      </c>
    </row>
    <row r="13" customFormat="false" ht="15" hidden="false" customHeight="false" outlineLevel="0" collapsed="false">
      <c r="A13" s="4" t="s">
        <v>27</v>
      </c>
      <c r="B13" s="5" t="s">
        <v>198</v>
      </c>
      <c r="C13" s="4" t="n">
        <f aca="false">COUNTIF(MDR!G6:G1000,"IFC")</f>
        <v>11</v>
      </c>
    </row>
    <row r="14" customFormat="false" ht="15" hidden="false" customHeight="false" outlineLevel="0" collapsed="false">
      <c r="A14" s="4" t="s">
        <v>21</v>
      </c>
      <c r="B14" s="5" t="s">
        <v>199</v>
      </c>
      <c r="C14" s="4" t="n">
        <f aca="false">COUNTIF(MDR!G6:G1000,"AFC")</f>
        <v>7</v>
      </c>
    </row>
    <row r="15" customFormat="false" ht="15" hidden="false" customHeight="false" outlineLevel="0" collapsed="false">
      <c r="A15" s="4" t="s">
        <v>49</v>
      </c>
      <c r="B15" s="5" t="s">
        <v>200</v>
      </c>
      <c r="C15" s="4" t="n">
        <f aca="false">COUNTIF(MDR!G6:G1000,"AB")</f>
        <v>4</v>
      </c>
    </row>
    <row r="16" customFormat="false" ht="15" hidden="false" customHeight="false" outlineLevel="0" collapsed="false">
      <c r="A16" s="4" t="s">
        <v>57</v>
      </c>
      <c r="B16" s="5" t="s">
        <v>201</v>
      </c>
      <c r="C16" s="4" t="n">
        <f aca="false">COUNTIF(MDR!G6:G1000,"REJ")</f>
        <v>4</v>
      </c>
    </row>
    <row r="18" customFormat="false" ht="15" hidden="false" customHeight="false" outlineLevel="0" collapsed="false">
      <c r="A18" s="17" t="s">
        <v>202</v>
      </c>
    </row>
    <row r="19" customFormat="false" ht="15" hidden="false" customHeight="false" outlineLevel="0" collapsed="false">
      <c r="A19" s="3" t="s">
        <v>6</v>
      </c>
      <c r="B19" s="3" t="s">
        <v>195</v>
      </c>
    </row>
    <row r="20" customFormat="false" ht="15" hidden="false" customHeight="false" outlineLevel="0" collapsed="false">
      <c r="A20" s="5" t="s">
        <v>18</v>
      </c>
      <c r="B20" s="4" t="n">
        <f aca="false">COUNTIF(MDR!D6:D1000,"Civil")</f>
        <v>7</v>
      </c>
    </row>
    <row r="21" customFormat="false" ht="15" hidden="false" customHeight="false" outlineLevel="0" collapsed="false">
      <c r="A21" s="5" t="s">
        <v>69</v>
      </c>
      <c r="B21" s="4" t="n">
        <f aca="false">COUNTIF(MDR!D6:D1000,"Electrical")</f>
        <v>8</v>
      </c>
    </row>
    <row r="22" customFormat="false" ht="15" hidden="false" customHeight="false" outlineLevel="0" collapsed="false">
      <c r="A22" s="5" t="s">
        <v>101</v>
      </c>
      <c r="B22" s="4" t="n">
        <f aca="false">COUNTIF(MDR!D6:D1000,"Mechanical")</f>
        <v>4</v>
      </c>
    </row>
    <row r="23" customFormat="false" ht="15" hidden="false" customHeight="false" outlineLevel="0" collapsed="false">
      <c r="A23" s="5" t="s">
        <v>118</v>
      </c>
      <c r="B23" s="4" t="n">
        <f aca="false">COUNTIF(MDR!D6:D1000,"Instrumentation &amp; Control")</f>
        <v>3</v>
      </c>
    </row>
    <row r="24" customFormat="false" ht="15" hidden="false" customHeight="false" outlineLevel="0" collapsed="false">
      <c r="A24" s="5" t="s">
        <v>131</v>
      </c>
      <c r="B24" s="4" t="n">
        <f aca="false">COUNTIF(MDR!D6:D1000,"HSE")</f>
        <v>4</v>
      </c>
    </row>
    <row r="25" customFormat="false" ht="15" hidden="false" customHeight="false" outlineLevel="0" collapsed="false">
      <c r="A25" s="5" t="s">
        <v>147</v>
      </c>
      <c r="B25" s="4" t="n">
        <f aca="false">COUNTIF(MDR!D6:D1000,"QA/QC")</f>
        <v>4</v>
      </c>
    </row>
    <row r="26" customFormat="false" ht="15" hidden="false" customHeight="false" outlineLevel="0" collapsed="false">
      <c r="A26" s="5" t="s">
        <v>162</v>
      </c>
      <c r="B26" s="4" t="n">
        <f aca="false">COUNTIF(MDR!D6:D1000,"Procurement")</f>
        <v>3</v>
      </c>
    </row>
    <row r="27" customFormat="false" ht="15" hidden="false" customHeight="false" outlineLevel="0" collapsed="false">
      <c r="A27" s="5" t="s">
        <v>173</v>
      </c>
      <c r="B27" s="4" t="n">
        <f aca="false">COUNTIF(MDR!D6:D1000,"Project Management")</f>
        <v>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6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34"/>
  </cols>
  <sheetData>
    <row r="1" customFormat="false" ht="19.7" hidden="false" customHeight="false" outlineLevel="0" collapsed="false">
      <c r="A1" s="13" t="s">
        <v>203</v>
      </c>
      <c r="B1" s="13"/>
      <c r="C1" s="13"/>
      <c r="D1" s="13"/>
      <c r="E1" s="13"/>
      <c r="F1" s="13"/>
      <c r="G1" s="13"/>
    </row>
    <row r="2" customFormat="false" ht="15" hidden="false" customHeight="false" outlineLevel="0" collapsed="false">
      <c r="A2" s="2" t="s">
        <v>204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4</v>
      </c>
      <c r="B4" s="3" t="s">
        <v>5</v>
      </c>
      <c r="C4" s="3" t="s">
        <v>8</v>
      </c>
      <c r="D4" s="3" t="s">
        <v>9</v>
      </c>
      <c r="E4" s="3" t="s">
        <v>205</v>
      </c>
      <c r="F4" s="3" t="s">
        <v>206</v>
      </c>
      <c r="G4" s="3" t="s">
        <v>207</v>
      </c>
    </row>
    <row r="5" customFormat="false" ht="23.85" hidden="false" customHeight="false" outlineLevel="0" collapsed="false">
      <c r="A5" s="14" t="s">
        <v>67</v>
      </c>
      <c r="B5" s="5" t="s">
        <v>68</v>
      </c>
      <c r="C5" s="4" t="s">
        <v>39</v>
      </c>
      <c r="D5" s="4" t="s">
        <v>196</v>
      </c>
      <c r="E5" s="4" t="s">
        <v>208</v>
      </c>
      <c r="F5" s="5" t="s">
        <v>209</v>
      </c>
      <c r="G5" s="5" t="s">
        <v>210</v>
      </c>
    </row>
    <row r="6" customFormat="false" ht="23.85" hidden="false" customHeight="false" outlineLevel="0" collapsed="false">
      <c r="A6" s="5"/>
      <c r="B6" s="5"/>
      <c r="C6" s="4" t="s">
        <v>56</v>
      </c>
      <c r="D6" s="4" t="s">
        <v>201</v>
      </c>
      <c r="E6" s="4" t="s">
        <v>211</v>
      </c>
      <c r="F6" s="5" t="s">
        <v>29</v>
      </c>
      <c r="G6" s="5" t="s">
        <v>212</v>
      </c>
    </row>
    <row r="7" customFormat="false" ht="23.85" hidden="false" customHeight="false" outlineLevel="0" collapsed="false">
      <c r="A7" s="5"/>
      <c r="B7" s="5"/>
      <c r="C7" s="4" t="s">
        <v>33</v>
      </c>
      <c r="D7" s="4" t="s">
        <v>197</v>
      </c>
      <c r="E7" s="4" t="s">
        <v>213</v>
      </c>
      <c r="F7" s="5" t="s">
        <v>209</v>
      </c>
      <c r="G7" s="5" t="s">
        <v>214</v>
      </c>
    </row>
    <row r="8" customFormat="false" ht="23.85" hidden="false" customHeight="false" outlineLevel="0" collapsed="false">
      <c r="A8" s="5"/>
      <c r="B8" s="5"/>
      <c r="C8" s="4" t="s">
        <v>20</v>
      </c>
      <c r="D8" s="4" t="s">
        <v>198</v>
      </c>
      <c r="E8" s="4" t="s">
        <v>215</v>
      </c>
      <c r="F8" s="5" t="s">
        <v>59</v>
      </c>
      <c r="G8" s="5" t="s">
        <v>216</v>
      </c>
    </row>
    <row r="9" customFormat="false" ht="23.85" hidden="false" customHeight="false" outlineLevel="0" collapsed="false">
      <c r="A9" s="14" t="s">
        <v>30</v>
      </c>
      <c r="B9" s="5" t="s">
        <v>31</v>
      </c>
      <c r="C9" s="4" t="s">
        <v>39</v>
      </c>
      <c r="D9" s="4" t="s">
        <v>196</v>
      </c>
      <c r="E9" s="4" t="s">
        <v>217</v>
      </c>
      <c r="F9" s="5" t="s">
        <v>218</v>
      </c>
      <c r="G9" s="5" t="s">
        <v>219</v>
      </c>
    </row>
    <row r="10" customFormat="false" ht="23.85" hidden="false" customHeight="false" outlineLevel="0" collapsed="false">
      <c r="A10" s="5"/>
      <c r="B10" s="5"/>
      <c r="C10" s="4" t="s">
        <v>56</v>
      </c>
      <c r="D10" s="4" t="s">
        <v>201</v>
      </c>
      <c r="E10" s="4" t="s">
        <v>220</v>
      </c>
      <c r="F10" s="5" t="s">
        <v>23</v>
      </c>
      <c r="G10" s="5" t="s">
        <v>221</v>
      </c>
    </row>
    <row r="11" customFormat="false" ht="23.85" hidden="false" customHeight="false" outlineLevel="0" collapsed="false">
      <c r="A11" s="5"/>
      <c r="B11" s="5"/>
      <c r="C11" s="4" t="s">
        <v>20</v>
      </c>
      <c r="D11" s="4" t="s">
        <v>198</v>
      </c>
      <c r="E11" s="4" t="s">
        <v>222</v>
      </c>
      <c r="F11" s="5" t="s">
        <v>218</v>
      </c>
      <c r="G11" s="5" t="s">
        <v>223</v>
      </c>
    </row>
    <row r="12" customFormat="false" ht="15" hidden="false" customHeight="false" outlineLevel="0" collapsed="false">
      <c r="A12" s="5"/>
      <c r="B12" s="5"/>
      <c r="C12" s="4" t="s">
        <v>48</v>
      </c>
      <c r="D12" s="4" t="s">
        <v>200</v>
      </c>
      <c r="E12" s="4" t="s">
        <v>224</v>
      </c>
      <c r="F12" s="5" t="s">
        <v>218</v>
      </c>
      <c r="G12" s="5" t="s">
        <v>225</v>
      </c>
    </row>
    <row r="13" customFormat="false" ht="23.85" hidden="false" customHeight="false" outlineLevel="0" collapsed="false">
      <c r="A13" s="14" t="s">
        <v>99</v>
      </c>
      <c r="B13" s="5" t="s">
        <v>100</v>
      </c>
      <c r="C13" s="4" t="s">
        <v>39</v>
      </c>
      <c r="D13" s="4" t="s">
        <v>196</v>
      </c>
      <c r="E13" s="4" t="s">
        <v>226</v>
      </c>
      <c r="F13" s="5" t="s">
        <v>227</v>
      </c>
      <c r="G13" s="5" t="s">
        <v>228</v>
      </c>
    </row>
    <row r="14" customFormat="false" ht="23.85" hidden="false" customHeight="false" outlineLevel="0" collapsed="false">
      <c r="A14" s="5"/>
      <c r="B14" s="5"/>
      <c r="C14" s="4" t="s">
        <v>20</v>
      </c>
      <c r="D14" s="4" t="s">
        <v>198</v>
      </c>
      <c r="E14" s="4" t="s">
        <v>229</v>
      </c>
      <c r="F14" s="5" t="s">
        <v>227</v>
      </c>
      <c r="G14" s="5" t="s">
        <v>230</v>
      </c>
    </row>
    <row r="15" customFormat="false" ht="15" hidden="false" customHeight="false" outlineLevel="0" collapsed="false">
      <c r="A15" s="5"/>
      <c r="B15" s="5"/>
      <c r="C15" s="4" t="s">
        <v>48</v>
      </c>
      <c r="D15" s="4" t="s">
        <v>200</v>
      </c>
      <c r="E15" s="4" t="s">
        <v>231</v>
      </c>
      <c r="F15" s="5" t="s">
        <v>227</v>
      </c>
      <c r="G15" s="5" t="s">
        <v>232</v>
      </c>
    </row>
    <row r="16" customFormat="false" ht="23.85" hidden="false" customHeight="false" outlineLevel="0" collapsed="false">
      <c r="A16" s="14" t="s">
        <v>116</v>
      </c>
      <c r="B16" s="5" t="s">
        <v>117</v>
      </c>
      <c r="C16" s="4" t="s">
        <v>39</v>
      </c>
      <c r="D16" s="4" t="s">
        <v>196</v>
      </c>
      <c r="E16" s="4" t="s">
        <v>233</v>
      </c>
      <c r="F16" s="5" t="s">
        <v>234</v>
      </c>
      <c r="G16" s="5" t="s">
        <v>235</v>
      </c>
    </row>
    <row r="17" customFormat="false" ht="23.85" hidden="false" customHeight="false" outlineLevel="0" collapsed="false">
      <c r="A17" s="5"/>
      <c r="B17" s="5"/>
      <c r="C17" s="4" t="s">
        <v>56</v>
      </c>
      <c r="D17" s="4" t="s">
        <v>201</v>
      </c>
      <c r="E17" s="4" t="s">
        <v>236</v>
      </c>
      <c r="F17" s="5" t="s">
        <v>59</v>
      </c>
      <c r="G17" s="5" t="s">
        <v>237</v>
      </c>
    </row>
    <row r="18" customFormat="false" ht="15" hidden="false" customHeight="false" outlineLevel="0" collapsed="false">
      <c r="A18" s="5"/>
      <c r="B18" s="5"/>
      <c r="C18" s="4" t="s">
        <v>33</v>
      </c>
      <c r="D18" s="4" t="s">
        <v>197</v>
      </c>
      <c r="E18" s="4" t="s">
        <v>215</v>
      </c>
      <c r="F18" s="5" t="s">
        <v>234</v>
      </c>
      <c r="G18" s="5" t="s">
        <v>238</v>
      </c>
    </row>
    <row r="19" customFormat="false" ht="15" hidden="false" customHeight="false" outlineLevel="0" collapsed="false">
      <c r="A19" s="5"/>
      <c r="B19" s="5"/>
      <c r="C19" s="4" t="s">
        <v>20</v>
      </c>
      <c r="D19" s="4" t="s">
        <v>198</v>
      </c>
      <c r="E19" s="4" t="s">
        <v>239</v>
      </c>
      <c r="F19" s="5" t="s">
        <v>65</v>
      </c>
      <c r="G19" s="5" t="s">
        <v>240</v>
      </c>
    </row>
    <row r="20" customFormat="false" ht="23.85" hidden="false" customHeight="false" outlineLevel="0" collapsed="false">
      <c r="A20" s="14" t="s">
        <v>241</v>
      </c>
      <c r="B20" s="5" t="s">
        <v>180</v>
      </c>
      <c r="C20" s="4" t="s">
        <v>39</v>
      </c>
      <c r="D20" s="4" t="s">
        <v>196</v>
      </c>
      <c r="E20" s="4" t="s">
        <v>242</v>
      </c>
      <c r="F20" s="5" t="s">
        <v>243</v>
      </c>
      <c r="G20" s="5" t="s">
        <v>244</v>
      </c>
    </row>
    <row r="21" customFormat="false" ht="23.85" hidden="false" customHeight="false" outlineLevel="0" collapsed="false">
      <c r="A21" s="5"/>
      <c r="B21" s="5"/>
      <c r="C21" s="4" t="s">
        <v>20</v>
      </c>
      <c r="D21" s="4" t="s">
        <v>199</v>
      </c>
      <c r="E21" s="4" t="s">
        <v>245</v>
      </c>
      <c r="F21" s="5" t="s">
        <v>72</v>
      </c>
      <c r="G21" s="5" t="s">
        <v>246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5"/>
    <col collapsed="false" customWidth="true" hidden="false" outlineLevel="0" max="4" min="3" style="0" width="20"/>
  </cols>
  <sheetData>
    <row r="1" customFormat="false" ht="19.7" hidden="false" customHeight="false" outlineLevel="0" collapsed="false">
      <c r="A1" s="13" t="s">
        <v>247</v>
      </c>
      <c r="B1" s="13"/>
      <c r="C1" s="13"/>
      <c r="D1" s="13"/>
    </row>
    <row r="3" customFormat="false" ht="15" hidden="false" customHeight="false" outlineLevel="0" collapsed="false">
      <c r="A3" s="17" t="s">
        <v>248</v>
      </c>
    </row>
    <row r="4" customFormat="false" ht="15" hidden="false" customHeight="false" outlineLevel="0" collapsed="false">
      <c r="A4" s="18" t="s">
        <v>249</v>
      </c>
    </row>
    <row r="5" customFormat="false" ht="15" hidden="false" customHeight="false" outlineLevel="0" collapsed="false">
      <c r="A5" s="19" t="s">
        <v>250</v>
      </c>
    </row>
    <row r="7" customFormat="false" ht="15" hidden="false" customHeight="false" outlineLevel="0" collapsed="false">
      <c r="A7" s="3" t="s">
        <v>251</v>
      </c>
      <c r="B7" s="3" t="s">
        <v>194</v>
      </c>
    </row>
    <row r="8" customFormat="false" ht="15" hidden="false" customHeight="false" outlineLevel="0" collapsed="false">
      <c r="A8" s="5" t="s">
        <v>252</v>
      </c>
      <c r="B8" s="5" t="s">
        <v>253</v>
      </c>
    </row>
    <row r="9" customFormat="false" ht="15" hidden="false" customHeight="false" outlineLevel="0" collapsed="false">
      <c r="A9" s="5" t="s">
        <v>254</v>
      </c>
      <c r="B9" s="5" t="s">
        <v>255</v>
      </c>
    </row>
    <row r="10" customFormat="false" ht="15" hidden="false" customHeight="false" outlineLevel="0" collapsed="false">
      <c r="A10" s="5" t="s">
        <v>6</v>
      </c>
      <c r="B10" s="5" t="s">
        <v>256</v>
      </c>
    </row>
    <row r="11" customFormat="false" ht="15" hidden="false" customHeight="false" outlineLevel="0" collapsed="false">
      <c r="A11" s="5" t="s">
        <v>7</v>
      </c>
      <c r="B11" s="5" t="s">
        <v>257</v>
      </c>
    </row>
    <row r="12" customFormat="false" ht="15" hidden="false" customHeight="false" outlineLevel="0" collapsed="false">
      <c r="A12" s="5" t="s">
        <v>258</v>
      </c>
      <c r="B12" s="5" t="s">
        <v>259</v>
      </c>
    </row>
    <row r="14" customFormat="false" ht="15" hidden="false" customHeight="false" outlineLevel="0" collapsed="false">
      <c r="A14" s="17" t="s">
        <v>260</v>
      </c>
    </row>
    <row r="15" customFormat="false" ht="15" hidden="false" customHeight="false" outlineLevel="0" collapsed="false">
      <c r="A15" s="3" t="s">
        <v>261</v>
      </c>
      <c r="B15" s="3" t="s">
        <v>6</v>
      </c>
    </row>
    <row r="16" customFormat="false" ht="15" hidden="false" customHeight="false" outlineLevel="0" collapsed="false">
      <c r="A16" s="4" t="s">
        <v>262</v>
      </c>
      <c r="B16" s="5" t="s">
        <v>18</v>
      </c>
    </row>
    <row r="17" customFormat="false" ht="15" hidden="false" customHeight="false" outlineLevel="0" collapsed="false">
      <c r="A17" s="4" t="s">
        <v>263</v>
      </c>
      <c r="B17" s="5" t="s">
        <v>69</v>
      </c>
    </row>
    <row r="18" customFormat="false" ht="15" hidden="false" customHeight="false" outlineLevel="0" collapsed="false">
      <c r="A18" s="4" t="s">
        <v>264</v>
      </c>
      <c r="B18" s="5" t="s">
        <v>101</v>
      </c>
    </row>
    <row r="19" customFormat="false" ht="15" hidden="false" customHeight="false" outlineLevel="0" collapsed="false">
      <c r="A19" s="4" t="s">
        <v>265</v>
      </c>
      <c r="B19" s="5" t="s">
        <v>118</v>
      </c>
    </row>
    <row r="20" customFormat="false" ht="15" hidden="false" customHeight="false" outlineLevel="0" collapsed="false">
      <c r="A20" s="4" t="s">
        <v>131</v>
      </c>
      <c r="B20" s="5" t="s">
        <v>131</v>
      </c>
    </row>
    <row r="21" customFormat="false" ht="15" hidden="false" customHeight="false" outlineLevel="0" collapsed="false">
      <c r="A21" s="4" t="s">
        <v>266</v>
      </c>
      <c r="B21" s="5" t="s">
        <v>147</v>
      </c>
    </row>
    <row r="22" customFormat="false" ht="15" hidden="false" customHeight="false" outlineLevel="0" collapsed="false">
      <c r="A22" s="4" t="s">
        <v>267</v>
      </c>
      <c r="B22" s="5" t="s">
        <v>162</v>
      </c>
    </row>
    <row r="23" customFormat="false" ht="15" hidden="false" customHeight="false" outlineLevel="0" collapsed="false">
      <c r="A23" s="4" t="s">
        <v>268</v>
      </c>
      <c r="B23" s="5" t="s">
        <v>173</v>
      </c>
    </row>
    <row r="25" customFormat="false" ht="15" hidden="false" customHeight="false" outlineLevel="0" collapsed="false">
      <c r="A25" s="17" t="s">
        <v>269</v>
      </c>
    </row>
    <row r="26" customFormat="false" ht="15" hidden="false" customHeight="false" outlineLevel="0" collapsed="false">
      <c r="A26" s="3" t="s">
        <v>261</v>
      </c>
      <c r="B26" s="3" t="s">
        <v>194</v>
      </c>
      <c r="C26" s="3" t="s">
        <v>270</v>
      </c>
    </row>
    <row r="27" customFormat="false" ht="23.85" hidden="false" customHeight="false" outlineLevel="0" collapsed="false">
      <c r="A27" s="4" t="s">
        <v>40</v>
      </c>
      <c r="B27" s="5" t="s">
        <v>196</v>
      </c>
      <c r="C27" s="5" t="s">
        <v>271</v>
      </c>
    </row>
    <row r="28" customFormat="false" ht="23.85" hidden="false" customHeight="false" outlineLevel="0" collapsed="false">
      <c r="A28" s="4" t="s">
        <v>34</v>
      </c>
      <c r="B28" s="5" t="s">
        <v>197</v>
      </c>
      <c r="C28" s="5" t="s">
        <v>272</v>
      </c>
    </row>
    <row r="29" customFormat="false" ht="23.85" hidden="false" customHeight="false" outlineLevel="0" collapsed="false">
      <c r="A29" s="4" t="s">
        <v>27</v>
      </c>
      <c r="B29" s="5" t="s">
        <v>198</v>
      </c>
      <c r="C29" s="5" t="s">
        <v>273</v>
      </c>
    </row>
    <row r="30" customFormat="false" ht="23.85" hidden="false" customHeight="false" outlineLevel="0" collapsed="false">
      <c r="A30" s="4" t="s">
        <v>21</v>
      </c>
      <c r="B30" s="5" t="s">
        <v>199</v>
      </c>
      <c r="C30" s="5" t="s">
        <v>274</v>
      </c>
    </row>
    <row r="31" customFormat="false" ht="23.85" hidden="false" customHeight="false" outlineLevel="0" collapsed="false">
      <c r="A31" s="4" t="s">
        <v>49</v>
      </c>
      <c r="B31" s="5" t="s">
        <v>200</v>
      </c>
      <c r="C31" s="5" t="s">
        <v>275</v>
      </c>
    </row>
    <row r="32" customFormat="false" ht="23.85" hidden="false" customHeight="false" outlineLevel="0" collapsed="false">
      <c r="A32" s="4" t="s">
        <v>57</v>
      </c>
      <c r="B32" s="5" t="s">
        <v>201</v>
      </c>
      <c r="C32" s="5" t="s">
        <v>276</v>
      </c>
    </row>
    <row r="34" customFormat="false" ht="15" hidden="false" customHeight="false" outlineLevel="0" collapsed="false">
      <c r="A34" s="17" t="s">
        <v>277</v>
      </c>
    </row>
    <row r="35" customFormat="false" ht="15" hidden="false" customHeight="true" outlineLevel="0" collapsed="false">
      <c r="A35" s="20" t="s">
        <v>278</v>
      </c>
      <c r="B35" s="20"/>
      <c r="C35" s="20"/>
      <c r="D35" s="20"/>
    </row>
    <row r="36" customFormat="false" ht="15" hidden="false" customHeight="true" outlineLevel="0" collapsed="false">
      <c r="A36" s="20" t="s">
        <v>279</v>
      </c>
      <c r="B36" s="20"/>
      <c r="C36" s="20"/>
      <c r="D36" s="20"/>
    </row>
    <row r="37" customFormat="false" ht="15" hidden="false" customHeight="true" outlineLevel="0" collapsed="false">
      <c r="A37" s="20" t="s">
        <v>280</v>
      </c>
      <c r="B37" s="20"/>
      <c r="C37" s="20"/>
      <c r="D37" s="20"/>
    </row>
    <row r="38" customFormat="false" ht="15" hidden="false" customHeight="true" outlineLevel="0" collapsed="false">
      <c r="A38" s="20" t="s">
        <v>281</v>
      </c>
      <c r="B38" s="20"/>
      <c r="C38" s="20"/>
      <c r="D38" s="20"/>
    </row>
    <row r="39" customFormat="false" ht="15" hidden="false" customHeight="true" outlineLevel="0" collapsed="false">
      <c r="A39" s="20" t="s">
        <v>282</v>
      </c>
      <c r="B39" s="20"/>
      <c r="C39" s="20"/>
      <c r="D39" s="20"/>
    </row>
  </sheetData>
  <mergeCells count="6">
    <mergeCell ref="A1:D1"/>
    <mergeCell ref="A35:D35"/>
    <mergeCell ref="A36:D36"/>
    <mergeCell ref="A37:D37"/>
    <mergeCell ref="A38:D38"/>
    <mergeCell ref="A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2026-08-21T06:53:22Z</dcterms:created>
  <dc:creator>openpyxl</dc:creator>
  <dc:description/>
  <dc:language>en-US</dc:language>
  <cp:lastModifiedBy/>
  <dcterms:modified xsi:type="dcterms:W3CDTF">2026-08-21T06:55:46Z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